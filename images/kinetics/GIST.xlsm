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xmlns:mc="http://schemas.openxmlformats.org/markup-compatibility/2006">
    <mc:Choice Requires="x15">
      <x15ac:absPath xmlns:x15ac="http://schemas.microsoft.com/office/spreadsheetml/2010/11/ac" url="D:\"/>
    </mc:Choice>
  </mc:AlternateContent>
  <xr:revisionPtr revIDLastSave="0" documentId="13_ncr:1_{68FD9A58-A63E-4138-A7F5-173440F25368}" xr6:coauthVersionLast="47" xr6:coauthVersionMax="47" xr10:uidLastSave="{00000000-0000-0000-0000-000000000000}"/>
  <bookViews>
    <workbookView xWindow="-120" yWindow="-120" windowWidth="20730" windowHeight="11160" tabRatio="733" activeTab="3" xr2:uid="{00000000-000D-0000-FFFF-FFFF00000000}"/>
  </bookViews>
  <sheets>
    <sheet name="Help" sheetId="7" r:id="rId1"/>
    <sheet name="Concentrations" sheetId="158" r:id="rId2"/>
    <sheet name="CONC" sheetId="157" r:id="rId3"/>
    <sheet name="CONTROL" sheetId="5" r:id="rId4"/>
    <sheet name="model" sheetId="152" r:id="rId5"/>
    <sheet name="UV irradiation" sheetId="97" r:id="rId6"/>
    <sheet name="parm" sheetId="3" r:id="rId7"/>
    <sheet name="fitdata" sheetId="6" r:id="rId8"/>
    <sheet name="therm" sheetId="58" r:id="rId9"/>
    <sheet name="species" sheetId="2" r:id="rId10"/>
  </sheets>
  <functionGroups builtInGroupCount="19"/>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103" i="152" l="1"/>
  <c r="A104" i="152"/>
  <c r="C4" i="97"/>
  <c r="C3" i="97"/>
  <c r="C30" i="97"/>
  <c r="C8" i="97"/>
  <c r="C7" i="97"/>
  <c r="A26" i="152" l="1"/>
  <c r="A48" i="152" l="1"/>
  <c r="D99" i="152"/>
  <c r="A99" i="152"/>
  <c r="A82" i="152" s="1"/>
  <c r="D96" i="152"/>
  <c r="A96" i="152"/>
  <c r="D93" i="152"/>
  <c r="A93" i="152"/>
  <c r="D90" i="152"/>
  <c r="A90" i="152"/>
  <c r="A74" i="152" s="1"/>
  <c r="D87" i="152"/>
  <c r="A87" i="152"/>
  <c r="A72" i="152" s="1"/>
  <c r="A81" i="152"/>
  <c r="A73" i="152"/>
  <c r="A71" i="152"/>
  <c r="A67" i="152"/>
  <c r="A66" i="152"/>
  <c r="A65" i="152"/>
  <c r="A64" i="152"/>
  <c r="A51" i="152"/>
  <c r="A47" i="152"/>
  <c r="E16" i="97" l="1"/>
  <c r="C10" i="2" l="1"/>
  <c r="G24" i="2" l="1"/>
  <c r="C7" i="2"/>
  <c r="C30" i="2"/>
  <c r="C9" i="2"/>
  <c r="C20" i="2" s="1"/>
  <c r="G14" i="2"/>
  <c r="E15" i="97"/>
  <c r="E14" i="97"/>
  <c r="C28" i="97"/>
  <c r="C27" i="97" s="1"/>
  <c r="B11" i="97" s="1"/>
  <c r="B8" i="97" l="1"/>
  <c r="A9" i="152" s="1"/>
  <c r="B7" i="97"/>
  <c r="A8" i="152" s="1"/>
  <c r="B4" i="97"/>
  <c r="A7" i="152" s="1"/>
  <c r="B3" i="97"/>
  <c r="A6" i="152" s="1"/>
  <c r="C13" i="2"/>
  <c r="G13" i="2" s="1"/>
  <c r="G9" i="2"/>
  <c r="A10" i="15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Ianni</author>
  </authors>
  <commentList>
    <comment ref="A3" authorId="0" shapeId="0" xr:uid="{00000000-0006-0000-0000-000001000000}">
      <text>
        <r>
          <rPr>
            <b/>
            <sz val="8"/>
            <color indexed="81"/>
            <rFont val="Tahoma"/>
            <family val="2"/>
          </rPr>
          <t>James Ianni:</t>
        </r>
        <r>
          <rPr>
            <sz val="8"/>
            <color indexed="81"/>
            <rFont val="Tahoma"/>
            <family val="2"/>
          </rPr>
          <t xml:space="preserve">
Here is a sample comment for this cell. To permanently display this comment, right click the cell and select "Show Comment"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 Ianni</author>
  </authors>
  <commentList>
    <comment ref="A2" authorId="0" shapeId="0" xr:uid="{00000000-0006-0000-0200-000001000000}">
      <text>
        <r>
          <rPr>
            <b/>
            <sz val="8"/>
            <color rgb="FF000000"/>
            <rFont val="Tahoma"/>
            <family val="2"/>
          </rPr>
          <t>James Ianni:</t>
        </r>
        <r>
          <rPr>
            <sz val="8"/>
            <color rgb="FF000000"/>
            <rFont val="Tahoma"/>
            <family val="2"/>
          </rPr>
          <t xml:space="preserve">
</t>
        </r>
        <r>
          <rPr>
            <sz val="8"/>
            <color rgb="FF000000"/>
            <rFont val="Tahoma"/>
            <family val="2"/>
          </rPr>
          <t xml:space="preserve">
</t>
        </r>
        <r>
          <rPr>
            <sz val="8"/>
            <color rgb="FF000000"/>
            <rFont val="Tahoma"/>
            <family val="2"/>
          </rPr>
          <t>Once you click the RUN button below, Kintecus will Run. To stop Kintecus, press the ESCAPE key (Esc Key) FIRST! THEN type a Control-C (hold Ctrl key, press the C key) in the Kintecus Window to halt Kintecus.</t>
        </r>
      </text>
    </comment>
    <comment ref="A5" authorId="0" shapeId="0" xr:uid="{00000000-0006-0000-0200-000002000000}">
      <text>
        <r>
          <rPr>
            <b/>
            <sz val="8"/>
            <color rgb="FF000000"/>
            <rFont val="Tahoma"/>
            <family val="2"/>
          </rPr>
          <t>James Ianni:</t>
        </r>
        <r>
          <rPr>
            <sz val="8"/>
            <color rgb="FF000000"/>
            <rFont val="Tahoma"/>
            <family val="2"/>
          </rPr>
          <t xml:space="preserve">
</t>
        </r>
        <r>
          <rPr>
            <sz val="8"/>
            <color rgb="FF000000"/>
            <rFont val="Tahoma"/>
            <family val="2"/>
          </rPr>
          <t xml:space="preserve">If you wish to register, please go to the Registration
</t>
        </r>
        <r>
          <rPr>
            <sz val="8"/>
            <color rgb="FF000000"/>
            <rFont val="Tahoma"/>
            <family val="2"/>
          </rPr>
          <t>Section in the pdf documentation or www.kintecus.com</t>
        </r>
      </text>
    </comment>
    <comment ref="A11" authorId="0" shapeId="0" xr:uid="{00000000-0006-0000-0200-000003000000}">
      <text>
        <r>
          <rPr>
            <b/>
            <sz val="8"/>
            <color rgb="FF000000"/>
            <rFont val="Tahoma"/>
            <family val="2"/>
          </rPr>
          <t>James Ianni:</t>
        </r>
        <r>
          <rPr>
            <sz val="8"/>
            <color rgb="FF000000"/>
            <rFont val="Tahoma"/>
            <family val="2"/>
          </rPr>
          <t xml:space="preserve">
</t>
        </r>
        <r>
          <rPr>
            <sz val="8"/>
            <color rgb="FF000000"/>
            <rFont val="Tahoma"/>
            <family val="2"/>
          </rPr>
          <t xml:space="preserve">
</t>
        </r>
        <r>
          <rPr>
            <sz val="8"/>
            <color rgb="FF000000"/>
            <rFont val="Tahoma"/>
            <family val="2"/>
          </rPr>
          <t xml:space="preserve">-THERM enter thermodynamic modes to calculate Dt/dt, Kc
</t>
        </r>
        <r>
          <rPr>
            <sz val="8"/>
            <color rgb="FF000000"/>
            <rFont val="Tahoma"/>
            <family val="2"/>
          </rPr>
          <t xml:space="preserve">-EQUIL enter equilibrium mode calculations
</t>
        </r>
        <r>
          <rPr>
            <sz val="8"/>
            <color rgb="FF000000"/>
            <rFont val="Tahoma"/>
            <family val="2"/>
          </rPr>
          <t xml:space="preserve">-ig:charge Ignore Charge Balance warnings 
</t>
        </r>
        <r>
          <rPr>
            <sz val="8"/>
            <color rgb="FF000000"/>
            <rFont val="Tahoma"/>
            <family val="2"/>
          </rPr>
          <t xml:space="preserve">-ig:mass Ignore Mass Balance warnings
</t>
        </r>
        <r>
          <rPr>
            <sz val="8"/>
            <color rgb="FF000000"/>
            <rFont val="Tahoma"/>
            <family val="2"/>
          </rPr>
          <t xml:space="preserve">-x Output concentrations in mole fractions 
</t>
        </r>
        <r>
          <rPr>
            <sz val="8"/>
            <color rgb="FF000000"/>
            <rFont val="Tahoma"/>
            <family val="2"/>
          </rPr>
          <t xml:space="preserve"> 
</t>
        </r>
        <r>
          <rPr>
            <sz val="8"/>
            <color rgb="FF000000"/>
            <rFont val="Tahoma"/>
            <family val="2"/>
          </rPr>
          <t xml:space="preserve">-SENSIT:  Output Sensitivity Analysis Output File
</t>
        </r>
        <r>
          <rPr>
            <sz val="8"/>
            <color rgb="FF000000"/>
            <rFont val="Tahoma"/>
            <family val="2"/>
          </rPr>
          <t xml:space="preserve"> -SENSIT:1(:n1 (:n2) ) Use sensitivity analysis #1 with
</t>
        </r>
        <r>
          <rPr>
            <sz val="8"/>
            <color rgb="FF000000"/>
            <rFont val="Tahoma"/>
            <family val="2"/>
          </rPr>
          <t xml:space="preserve"> the following optional numeric entries: 
</t>
        </r>
        <r>
          <rPr>
            <sz val="8"/>
            <color rgb="FF000000"/>
            <rFont val="Tahoma"/>
            <family val="2"/>
          </rPr>
          <t xml:space="preserve"> n1 :perform analysis at various parts in the simulation
</t>
        </r>
        <r>
          <rPr>
            <sz val="8"/>
            <color rgb="FF000000"/>
            <rFont val="Tahoma"/>
            <family val="2"/>
          </rPr>
          <t xml:space="preserve"> (default is three: beginning, middle and the end)
</t>
        </r>
        <r>
          <rPr>
            <sz val="8"/>
            <color rgb="FF000000"/>
            <rFont val="Tahoma"/>
            <family val="2"/>
          </rPr>
          <t xml:space="preserve"> -OR- n1=TIMES,t1,t2,tn... where t1,t2 and tn are
</t>
        </r>
        <r>
          <rPr>
            <sz val="8"/>
            <color rgb="FF000000"/>
            <rFont val="Tahoma"/>
            <family val="2"/>
          </rPr>
          <t xml:space="preserve"> times(in sec.) to perform the sensitivity analysis.
</t>
        </r>
        <r>
          <rPr>
            <sz val="8"/>
            <color rgb="FF000000"/>
            <rFont val="Tahoma"/>
            <family val="2"/>
          </rPr>
          <t xml:space="preserve"> n2 = percent difference in k's used (5% default) 
</t>
        </r>
        <r>
          <rPr>
            <sz val="8"/>
            <color rgb="FF000000"/>
            <rFont val="Tahoma"/>
            <family val="2"/>
          </rPr>
          <t xml:space="preserve"> just typing -SENSIT:1 is equal to -SENSIT:1:3:5 
</t>
        </r>
        <r>
          <rPr>
            <sz val="8"/>
            <color rgb="FF000000"/>
            <rFont val="Tahoma"/>
            <family val="2"/>
          </rPr>
          <t xml:space="preserve">-KINSTAT Output statistics on the kinetic system 
</t>
        </r>
        <r>
          <rPr>
            <sz val="8"/>
            <color rgb="FF000000"/>
            <rFont val="Tahoma"/>
            <family val="2"/>
          </rPr>
          <t xml:space="preserve">         into the file KINSTAT.TXT . 
</t>
        </r>
        <r>
          <rPr>
            <sz val="8"/>
            <color rgb="FF000000"/>
            <rFont val="Tahoma"/>
            <family val="2"/>
          </rPr>
          <t xml:space="preserve">-SEEMW Output all species and their corresponding 
</t>
        </r>
        <r>
          <rPr>
            <sz val="8"/>
            <color rgb="FF000000"/>
            <rFont val="Tahoma"/>
            <family val="2"/>
          </rPr>
          <t xml:space="preserve"> molecular weight into the file MW.TXT. 
</t>
        </r>
        <r>
          <rPr>
            <sz val="8"/>
            <color rgb="FF000000"/>
            <rFont val="Tahoma"/>
            <family val="2"/>
          </rPr>
          <t xml:space="preserve">-P Load a user provided periodic table from the text
</t>
        </r>
        <r>
          <rPr>
            <sz val="8"/>
            <color rgb="FF000000"/>
            <rFont val="Tahoma"/>
            <family val="2"/>
          </rPr>
          <t xml:space="preserve">   file PERIOD.DAT
</t>
        </r>
        <r>
          <rPr>
            <sz val="8"/>
            <color rgb="FF000000"/>
            <rFont val="Tahoma"/>
            <family val="2"/>
          </rPr>
          <t xml:space="preserve">-o:Y/N:Y/N:Y/N:Y/N Output files based on various
</t>
        </r>
        <r>
          <rPr>
            <sz val="8"/>
            <color rgb="FF000000"/>
            <rFont val="Tahoma"/>
            <family val="2"/>
          </rPr>
          <t xml:space="preserve">   physical properties/rates on the system as it runs. 
</t>
        </r>
        <r>
          <rPr>
            <sz val="8"/>
            <color rgb="FF000000"/>
            <rFont val="Tahoma"/>
            <family val="2"/>
          </rPr>
          <t xml:space="preserve"> 
</t>
        </r>
        <r>
          <rPr>
            <sz val="8"/>
            <color rgb="FF000000"/>
            <rFont val="Tahoma"/>
            <family val="2"/>
          </rPr>
          <t xml:space="preserve">-FIT:a:b:c:d:e:f[:g:h:i] Fit/Optimize your model against
</t>
        </r>
        <r>
          <rPr>
            <sz val="8"/>
            <color rgb="FF000000"/>
            <rFont val="Tahoma"/>
            <family val="2"/>
          </rPr>
          <t xml:space="preserve">    experimental/fabricated data. 
</t>
        </r>
        <r>
          <rPr>
            <sz val="8"/>
            <color rgb="FF000000"/>
            <rFont val="Tahoma"/>
            <family val="2"/>
          </rPr>
          <t xml:space="preserve">a=Fitting Algorithm=1, 2, 3  
</t>
        </r>
        <r>
          <rPr>
            <sz val="8"/>
            <color rgb="FF000000"/>
            <rFont val="Tahoma"/>
            <family val="2"/>
          </rPr>
          <t xml:space="preserve">b=Comparison Operator=1, 2, 3 
</t>
        </r>
        <r>
          <rPr>
            <sz val="8"/>
            <color rgb="FF000000"/>
            <rFont val="Tahoma"/>
            <family val="2"/>
          </rPr>
          <t xml:space="preserve">c=User Dataset Filename=Any allowed text filename
</t>
        </r>
        <r>
          <rPr>
            <sz val="8"/>
            <color rgb="FF000000"/>
            <rFont val="Tahoma"/>
            <family val="2"/>
          </rPr>
          <t xml:space="preserve">d=Tolerance=1 to 10(-14)    
</t>
        </r>
        <r>
          <rPr>
            <sz val="8"/>
            <color rgb="FF000000"/>
            <rFont val="Tahoma"/>
            <family val="2"/>
          </rPr>
          <t xml:space="preserve">e=Maximum Iterations Allowed=1-32767  
</t>
        </r>
        <r>
          <rPr>
            <sz val="8"/>
            <color rgb="FF000000"/>
            <rFont val="Tahoma"/>
            <family val="2"/>
          </rPr>
          <t xml:space="preserve">f=Starting Vectors=1x10(-99) to 1x10(10) 
</t>
        </r>
        <r>
          <rPr>
            <sz val="8"/>
            <color rgb="FF000000"/>
            <rFont val="Tahoma"/>
            <family val="2"/>
          </rPr>
          <t xml:space="preserve">g=Starting Temperature=1x10(-100) to 1x10(10) 
</t>
        </r>
        <r>
          <rPr>
            <sz val="8"/>
            <color rgb="FF000000"/>
            <rFont val="Tahoma"/>
            <family val="2"/>
          </rPr>
          <t xml:space="preserve">h=Number of Cycles to Stay At Current Temperature 
</t>
        </r>
        <r>
          <rPr>
            <sz val="8"/>
            <color rgb="FF000000"/>
            <rFont val="Tahoma"/>
            <family val="2"/>
          </rPr>
          <t xml:space="preserve">Before Reducing Temperature=1-32767   
</t>
        </r>
        <r>
          <rPr>
            <sz val="8"/>
            <color rgb="FF000000"/>
            <rFont val="Tahoma"/>
            <family val="2"/>
          </rPr>
          <t xml:space="preserve">i=Percent Temperature Reduction=0 - 0.99999 
</t>
        </r>
        <r>
          <rPr>
            <sz val="8"/>
            <color rgb="FF000000"/>
            <rFont val="Tahoma"/>
            <family val="2"/>
          </rPr>
          <t xml:space="preserve"> 
</t>
        </r>
        <r>
          <rPr>
            <sz val="8"/>
            <color rgb="FF000000"/>
            <rFont val="Tahoma"/>
            <family val="2"/>
          </rPr>
          <t xml:space="preserve">-FIT sets default values to, a=1, b=1,   
</t>
        </r>
        <r>
          <rPr>
            <sz val="8"/>
            <color rgb="FF000000"/>
            <rFont val="Tahoma"/>
            <family val="2"/>
          </rPr>
          <t xml:space="preserve">c=FITDATA.TXT, d=1x10(-6),e=9000    
</t>
        </r>
        <r>
          <rPr>
            <sz val="8"/>
            <color rgb="FF000000"/>
            <rFont val="Tahoma"/>
            <family val="2"/>
          </rPr>
          <t xml:space="preserve">f=1x10(-35)
</t>
        </r>
        <r>
          <rPr>
            <sz val="8"/>
            <color rgb="FF000000"/>
            <rFont val="Tahoma"/>
            <family val="2"/>
          </rPr>
          <t xml:space="preserve"> 
</t>
        </r>
        <r>
          <rPr>
            <sz val="8"/>
            <color rgb="FF000000"/>
            <rFont val="Tahoma"/>
            <family val="2"/>
          </rPr>
          <t xml:space="preserve">
</t>
        </r>
        <r>
          <rPr>
            <sz val="8"/>
            <color rgb="FF000000"/>
            <rFont val="Tahoma"/>
            <family val="2"/>
          </rPr>
          <t xml:space="preserve">Advanced Kintecus Switches:
</t>
        </r>
        <r>
          <rPr>
            <sz val="8"/>
            <color rgb="FF000000"/>
            <rFont val="Tahoma"/>
            <family val="2"/>
          </rPr>
          <t xml:space="preserve">
</t>
        </r>
        <r>
          <rPr>
            <sz val="8"/>
            <color rgb="FF000000"/>
            <rFont val="Tahoma"/>
            <family val="2"/>
          </rPr>
          <t xml:space="preserve">-anjac Use analytically calculated jacobians.
</t>
        </r>
        <r>
          <rPr>
            <sz val="8"/>
            <color rgb="FF000000"/>
            <rFont val="Tahoma"/>
            <family val="2"/>
          </rPr>
          <t xml:space="preserve">-INT:n1[:n2] Where n1 is the type of integrator used and n2 is a
</t>
        </r>
        <r>
          <rPr>
            <sz val="8"/>
            <color rgb="FF000000"/>
            <rFont val="Tahoma"/>
            <family val="2"/>
          </rPr>
          <t xml:space="preserve"> secondary integrator option: 
</t>
        </r>
        <r>
          <rPr>
            <sz val="8"/>
            <color rgb="FF000000"/>
            <rFont val="Tahoma"/>
            <family val="2"/>
          </rPr>
          <t xml:space="preserve">        n1 = 1 Modified Bader-Deuflhard (default)        
</t>
        </r>
        <r>
          <rPr>
            <sz val="8"/>
            <color rgb="FF000000"/>
            <rFont val="Tahoma"/>
            <family val="2"/>
          </rPr>
          <t xml:space="preserve">        n1 = 2 Cash-Karp Runge-Kutta integrator  
</t>
        </r>
        <r>
          <rPr>
            <sz val="8"/>
            <color rgb="FF000000"/>
            <rFont val="Tahoma"/>
            <family val="2"/>
          </rPr>
          <t>-OF Output a freeform thermodynamic database spreadsheet.</t>
        </r>
      </text>
    </comment>
    <comment ref="A27" authorId="0" shapeId="0" xr:uid="{00000000-0006-0000-0200-000004000000}">
      <text>
        <r>
          <rPr>
            <b/>
            <sz val="8"/>
            <color indexed="81"/>
            <rFont val="Tahoma"/>
            <family val="2"/>
          </rPr>
          <t>James Ianni:</t>
        </r>
        <r>
          <rPr>
            <sz val="8"/>
            <color indexed="81"/>
            <rFont val="Tahoma"/>
            <family val="2"/>
          </rPr>
          <t xml:space="preserve">
This option is for those individuals who are using an international version of Excel that saves numbers with commas instead of points, ie 3.14 is written as 3,14. Kintecus will not run if it encounters such numbers.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Woorim Lee</author>
  </authors>
  <commentList>
    <comment ref="A102" authorId="0" shapeId="0" xr:uid="{00000000-0006-0000-0300-000001000000}">
      <text>
        <r>
          <rPr>
            <b/>
            <sz val="9"/>
            <color indexed="81"/>
            <rFont val="Tahoma"/>
            <family val="2"/>
          </rPr>
          <t>Woorim Lee:</t>
        </r>
        <r>
          <rPr>
            <sz val="9"/>
            <color indexed="81"/>
            <rFont val="Tahoma"/>
            <family val="2"/>
          </rPr>
          <t xml:space="preserve">
Mialocq, J. C.; Gilles, L.; Hickel, B.; Lesigne, B.; Barat, F., Flash-Photolysis of Chlorine
Dioxide in Aqueous Solution. J Phys Chem. 1973, 77, (6), 742-749.</t>
        </r>
      </text>
    </comment>
    <comment ref="A103" authorId="0" shapeId="0" xr:uid="{00000000-0006-0000-0300-000002000000}">
      <text>
        <r>
          <rPr>
            <b/>
            <sz val="9"/>
            <color indexed="81"/>
            <rFont val="Tahoma"/>
            <family val="2"/>
          </rPr>
          <t>Woorim Lee:</t>
        </r>
        <r>
          <rPr>
            <sz val="9"/>
            <color indexed="81"/>
            <rFont val="Tahoma"/>
            <family val="2"/>
          </rPr>
          <t xml:space="preserve">
Calculated from Buxtun 1971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James Ianni</author>
  </authors>
  <commentList>
    <comment ref="A5" authorId="0" shapeId="0" xr:uid="{00000000-0006-0000-0500-000001000000}">
      <text>
        <r>
          <rPr>
            <b/>
            <sz val="8"/>
            <color indexed="81"/>
            <rFont val="Tahoma"/>
            <family val="2"/>
          </rPr>
          <t>James Ianni:</t>
        </r>
        <r>
          <rPr>
            <sz val="8"/>
            <color indexed="81"/>
            <rFont val="Tahoma"/>
            <family val="2"/>
          </rPr>
          <t xml:space="preserve">
The Starting Integration Time (in seconds) determines the starting time step to integrate your model. After the first integration, this will change and grow larger if your accuracy is large and/or the stiffness of your model is low (meaning a decrease in execution -time of the program) , or grow smaller if your accuracy is very small and/or the stiffness of your model is high (meaning an increase in execution time of the program). You should not have to change this in most cases. A special note for combustion modelers: since most combustion reactions happen in the first few tenths of a microsecond, you might wish to decrease this to 1.0e-7 or 1.0e-8 if you are having troubling near the very beginning of the simulation run. </t>
        </r>
      </text>
    </comment>
    <comment ref="B5" authorId="0" shapeId="0" xr:uid="{00000000-0006-0000-0500-000002000000}">
      <text>
        <r>
          <rPr>
            <b/>
            <sz val="8"/>
            <color indexed="81"/>
            <rFont val="Tahoma"/>
            <family val="2"/>
          </rPr>
          <t>James Ianni:</t>
        </r>
        <r>
          <rPr>
            <sz val="8"/>
            <color indexed="81"/>
            <rFont val="Tahoma"/>
            <family val="2"/>
          </rPr>
          <t xml:space="preserve">
The Maximum Integration Time has a few uses in Kintecus. If you are not using a concentration profile on any species (see below in the Species Description Sheet), then this field is only used to determine the minimum timing threshold which has to be exceeded before outputting the concentration of displayed species. In this case a value of 1 to 10 seconds is fine for simulations lasting from 10 minutes to a few days respectively, but if you are doing simulation which only last a few nanoseconds, then a value of a few femtoseconds (1 x 10(-15) ) should suffice. If you only have, some species loaded as a concentration profile (see below in the Species Description Sheet) then this will determine how often the data is retrieved from the concentration profile files. Reducing the maximum integration time will output more concentration values. If you have a final model and you wish to have a nice plot full of points that looks good for publication, you can trying reducing this field by 10/100/1000 and so on. Although, be warned, the simulation time will increase.</t>
        </r>
      </text>
    </comment>
    <comment ref="C5" authorId="0" shapeId="0" xr:uid="{00000000-0006-0000-0500-000003000000}">
      <text>
        <r>
          <rPr>
            <b/>
            <sz val="8"/>
            <color indexed="81"/>
            <rFont val="Tahoma"/>
            <family val="2"/>
          </rPr>
          <t>James Ianni:</t>
        </r>
        <r>
          <rPr>
            <sz val="8"/>
            <color indexed="81"/>
            <rFont val="Tahoma"/>
            <family val="2"/>
          </rPr>
          <t xml:space="preserve">
The Ea Units field allows you to specify the units associated with the energy of activation used in the exponent of the expanded Arrhenius equation (the exp(-Ea/RT) ). If you are not using the expanded Arrhenius equation then you do not have to worry about this field. Possible values (values are case insensitive) and their respective concentration units in this field are:  
Energy Type     ,Other Synonyms allowed
Joule ,J
Calorie, CAL
Kelvin, Kelv
KiloCalorie, KCAL
KiloJoule, KJ
KiloKelvin, KKelv
 </t>
        </r>
      </text>
    </comment>
    <comment ref="D5" authorId="0" shapeId="0" xr:uid="{00000000-0006-0000-0500-000004000000}">
      <text>
        <r>
          <rPr>
            <b/>
            <sz val="8"/>
            <color indexed="81"/>
            <rFont val="Tahoma"/>
            <family val="2"/>
          </rPr>
          <t>James Ianni:</t>
        </r>
        <r>
          <rPr>
            <sz val="8"/>
            <color indexed="81"/>
            <rFont val="Tahoma"/>
            <family val="2"/>
          </rPr>
          <t xml:space="preserve">
The Units field allows you to use different concentration units during a run. Possible values (values are case insensitive) and their respective concentration units in this field are:  
Concentration Type, Other Synonyms allowed
Moles/Liter, Moles/L, Mol/L, Mol/liter 
Molecules/cm^3, Molecules/cc, Molec/cc, Molec/cm^3, 1/cc, or 1/cm^3,
ppm, Parts per million   
Moles/cm^3, Moles/cc   
It is recommended to use moles/cm^3 if you wish to use the thermodynamic databases associated with Chemkin models.
</t>
        </r>
      </text>
    </comment>
    <comment ref="D7" authorId="0" shapeId="0" xr:uid="{00000000-0006-0000-0500-000005000000}">
      <text>
        <r>
          <rPr>
            <b/>
            <sz val="8"/>
            <color indexed="81"/>
            <rFont val="Tahoma"/>
            <family val="2"/>
          </rPr>
          <t>James Ianni:</t>
        </r>
        <r>
          <rPr>
            <sz val="8"/>
            <color indexed="81"/>
            <rFont val="Tahoma"/>
            <family val="2"/>
          </rPr>
          <t xml:space="preserve">
This field allows one to model External Heat Jackets or External Temperature Baths or dynamic Heat sources and sinks.
You can enter one of four types of external heat source/temperature related items:
1) A numerical value representing an external Heat Source/Sink 
2) A filename containing a profile (formatted llike a "Constant File?" file) tha t represents a changing External Heat Source/Sink # Profile (Filename)
3) TWO values: One for Conductance of the container/reactor, followed by a COLON, ":", followed by the Extern. Temperature(K)
4) One value and a profile:  the first number represents the  conductance of the container/reactor followed by a COLON, ":", followed by a  filename containing a profile (formatted llike a "Constant File?" file) tha t represents a changing External Temperature </t>
        </r>
      </text>
    </comment>
    <comment ref="A8" authorId="0" shapeId="0" xr:uid="{00000000-0006-0000-0500-000006000000}">
      <text>
        <r>
          <rPr>
            <b/>
            <sz val="8"/>
            <color indexed="81"/>
            <rFont val="Tahoma"/>
            <family val="2"/>
          </rPr>
          <t>James Ianni:</t>
        </r>
        <r>
          <rPr>
            <sz val="8"/>
            <color indexed="81"/>
            <rFont val="Tahoma"/>
            <family val="2"/>
          </rPr>
          <t xml:space="preserve">
It is obvious what should be entered in the Temperature field, just be sure the units for that field is in Kelvins. If your model is not using the Arrhenius expression, special reactions or thermodynamics then this field is not used. You can also enter a filename here containing a temperature program. If you do wish to use a program temperature then please skip to applying perturbations under the Constant File Field  in the Species Description Spreadsheet. </t>
        </r>
      </text>
    </comment>
    <comment ref="B8" authorId="0" shapeId="0" xr:uid="{00000000-0006-0000-0500-000007000000}">
      <text>
        <r>
          <rPr>
            <b/>
            <sz val="8"/>
            <color indexed="81"/>
            <rFont val="Tahoma"/>
            <family val="2"/>
          </rPr>
          <t>James Ianni:</t>
        </r>
        <r>
          <rPr>
            <sz val="8"/>
            <color indexed="81"/>
            <rFont val="Tahoma"/>
            <family val="2"/>
          </rPr>
          <t xml:space="preserve">
The “Pressure Constant ?” field excepts two values: “Yes” or any entry other than “Yes” (which translates to Kintecus, ignore this field).  If you specify “Yes”, then the volume of the system will change to keep all gaseous products at the same exact pressure the simulation started. Kintecus calculates the starting pressure from summing all gaseous species’ concentrations, and then multiplying that by the gas constant, R, and temperature.</t>
        </r>
      </text>
    </comment>
    <comment ref="C8" authorId="0" shapeId="0" xr:uid="{00000000-0006-0000-0500-000008000000}">
      <text>
        <r>
          <rPr>
            <b/>
            <sz val="8"/>
            <color indexed="81"/>
            <rFont val="Tahoma"/>
            <family val="2"/>
          </rPr>
          <t>James Ianni:</t>
        </r>
        <r>
          <rPr>
            <sz val="8"/>
            <color indexed="81"/>
            <rFont val="Tahoma"/>
            <family val="2"/>
          </rPr>
          <t xml:space="preserve">
The volume profile fields allows one to enter a perturbation file (see the species spreadsheet file section for a full explanation on the types of perturbations allowed) containing the volume profile of the system through a simulation run. This allows one to model piston compressions. Kintecus treats the numbers in the perturbation file as divisors into the gaseous species concentrations. For example, a value of one does nothing to the system, while a value of 0.5 tells Kintecus to cut the volume in the system by half, so the concentrations of all gaseous species are doubled. </t>
        </r>
      </text>
    </comment>
    <comment ref="D8" authorId="0" shapeId="0" xr:uid="{00000000-0006-0000-0500-000009000000}">
      <text>
        <r>
          <rPr>
            <b/>
            <sz val="8"/>
            <color indexed="81"/>
            <rFont val="Tahoma"/>
            <family val="2"/>
          </rPr>
          <t>James Ianni:</t>
        </r>
        <r>
          <rPr>
            <sz val="8"/>
            <color indexed="81"/>
            <rFont val="Tahoma"/>
            <family val="2"/>
          </rPr>
          <t xml:space="preserve">
This field allows one to model External Heat Jackets or External Temperature Baths or dynamic Heat sources and sinks.
You can enter one of four types of external heat source/temperature related items:
1) A numerical value representing an external Heat Source/Sink 
2) A filename containing a profile (formatted llike a "Constant File?" file) tha t represents a changing External Heat Source/Sink # Profile (Filename)
3) TWO values: One for Conductance of the container/reactor, followed by a COLON, ":", followed by the Extern. Temperature(K)
4) One value and a profile:  the first number represents the  conductance of the container/reactor followed by a COLON, ":", followed by a  filename containing a profile (formatted llike a "Constant File?" file) tha t represents a changing External Temperature </t>
        </r>
      </text>
    </comment>
    <comment ref="A14" authorId="0" shapeId="0" xr:uid="{00000000-0006-0000-0500-00000A000000}">
      <text>
        <r>
          <rPr>
            <b/>
            <sz val="8"/>
            <color indexed="81"/>
            <rFont val="Tahoma"/>
            <family val="2"/>
          </rPr>
          <t>James Ianni:</t>
        </r>
        <r>
          <rPr>
            <sz val="8"/>
            <color indexed="81"/>
            <rFont val="Tahoma"/>
            <family val="2"/>
          </rPr>
          <t xml:space="preserve">
The hv(filename) and Sampling Interval(s) are used together and are mainly for the simple use of hv in your equations (i.e. M + hv ==&gt; M+ + e- ). The hv(filename) can be one of three things: if None1 is entered then hv=0 always, if None2 then hv=1 always, if anything else then the field will hold the name of a file containing data that represents a profile for hv. The Sampling Interval holds the spacing in time (in seconds) between each data point. The number of data points in the filename and the sampling interval determine the total length of the hv profile. </t>
        </r>
      </text>
    </comment>
    <comment ref="B14" authorId="0" shapeId="0" xr:uid="{00000000-0006-0000-0500-00000B000000}">
      <text>
        <r>
          <rPr>
            <b/>
            <sz val="8"/>
            <color indexed="81"/>
            <rFont val="Tahoma"/>
            <family val="2"/>
          </rPr>
          <t>James Ianni:</t>
        </r>
        <r>
          <rPr>
            <sz val="8"/>
            <color indexed="81"/>
            <rFont val="Tahoma"/>
            <family val="2"/>
          </rPr>
          <t xml:space="preserve">
The hv(filename) and Sampling Interval(s) are used together and are mainly for the simple use of hv in your equations (i.e. M + hv ==&gt; M+ + e- ). The hv(filename) can be one of three things: if None1 is entered then hv=0 always, if None2 then hv=1 always, if anything else then the field will hold the name of a file containing data that represents a profile for hv. The Sampling Interval holds the spacing in time (in seconds) between each data point. The number of data points in the filename and the sampling interval determine the total length of the hv profile. </t>
        </r>
      </text>
    </comment>
    <comment ref="C14" authorId="0" shapeId="0" xr:uid="{00000000-0006-0000-0500-00000C000000}">
      <text>
        <r>
          <rPr>
            <b/>
            <sz val="8"/>
            <color indexed="81"/>
            <rFont val="Tahoma"/>
            <family val="2"/>
          </rPr>
          <t>James Ianni:</t>
        </r>
        <r>
          <rPr>
            <sz val="8"/>
            <color indexed="81"/>
            <rFont val="Tahoma"/>
            <family val="2"/>
          </rPr>
          <t xml:space="preserve">
A value of 0% will output all values. Since most computers are now quite fast in plotting abilities, it is recommended to use 0%.</t>
        </r>
      </text>
    </comment>
    <comment ref="D14" authorId="0" shapeId="0" xr:uid="{00000000-0006-0000-0500-00000D000000}">
      <text>
        <r>
          <rPr>
            <b/>
            <sz val="8"/>
            <color indexed="81"/>
            <rFont val="Tahoma"/>
            <family val="2"/>
          </rPr>
          <t>James Ianni:</t>
        </r>
        <r>
          <rPr>
            <sz val="8"/>
            <color indexed="81"/>
            <rFont val="Tahoma"/>
            <family val="2"/>
          </rPr>
          <t xml:space="preserve">
 Accuracy determines how far out in the decimal place to keep the concentration accurately computed. Therefore, a value of 1.0E-9 will keep the first nine digits of the integrated concentration accurately computed. The smaller you make the accuracy field the slower Kintecus runs your model. If you have a huge model, you may want to increase this to 1.0E-5 or larger. Of course, if you have stiff reactions and Kintecus can't seem to integrate your model, you should decrease this field to 1.0e-10 or so. See the Overflows, Underflows, Division by Zero, Singularities, Domain Errors section for a further description.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James Ianni</author>
    <author>RIST</author>
  </authors>
  <commentList>
    <comment ref="A2" authorId="0" shapeId="0" xr:uid="{00000000-0006-0000-0800-000001000000}">
      <text>
        <r>
          <rPr>
            <b/>
            <sz val="8"/>
            <color indexed="81"/>
            <rFont val="Tahoma"/>
            <family val="2"/>
          </rPr>
          <t>James Ianni:</t>
        </r>
        <r>
          <rPr>
            <sz val="8"/>
            <color indexed="81"/>
            <rFont val="Tahoma"/>
            <family val="2"/>
          </rPr>
          <t xml:space="preserve">
The Species field holds the name of a species that will show up in a chemical reaction and can be up to 240 characters long. An important note is that the charge of the species is only computed for species name if a "+" or "-" is appended at the end of the name, but before the phase descriptor, {}.
   By default, the phase of any species is in the gas phase if the species name has no phase information at the end. Overriding the default gas phase can be accomplished by appending the species name with the phase name surrounded by braces, for example, {aq} to represent aqueous phase (i.e. CH3COO-{aq} ), or {l} (i.e. Br2{l} ), to represent the liquid phase. Again, no phase information present at the end of a species name can also represent a species in the gas phase, such as Ar or N2. It should be very important to note that if all your species are in one phase (such as gas or aqueous) then you do not have to append each species name with a phase descriptor. It is just a waste of time to append every species name with {g} or {aq} if they are all in the same phase. Kintecus V2.0 only really “understands” gas phase, {g}, and any other phase that is not in the gas phase. Kintecus uses the gas phase information mainly for third-body reactions involving [M], pressure fall-off reactions and enhanced third body reactions used in [M]. Future versions will incorporate other phases. The phase descriptor must always appear at the end of the species name. The species Cl++{g} is the chlorine molecule with a +2 charge in the gas phase, but Cl{g}++ is some species name of Cl{g} with a +2 charge.</t>
        </r>
      </text>
    </comment>
    <comment ref="B2" authorId="0" shapeId="0" xr:uid="{00000000-0006-0000-0800-000002000000}">
      <text>
        <r>
          <rPr>
            <b/>
            <sz val="8"/>
            <color indexed="81"/>
            <rFont val="Tahoma"/>
            <family val="2"/>
          </rPr>
          <t>James Ianni:</t>
        </r>
        <r>
          <rPr>
            <sz val="8"/>
            <color indexed="81"/>
            <rFont val="Tahoma"/>
            <family val="2"/>
          </rPr>
          <t xml:space="preserve">
 The Residence Time in CSTR and the External Concentration fields are used together for the modeling of Continuous Stirred Tank Reactors (CSTR) or any other process that contains well mixed, isothermal reactions with external flux in and flux out:
 Naturally the External Concentration field does not contain the actual concentration of the external tank but the concentration that it will become once it is diluted in the CSTR before any reactions take place. 
</t>
        </r>
      </text>
    </comment>
    <comment ref="C2" authorId="0" shapeId="0" xr:uid="{00000000-0006-0000-0800-000003000000}">
      <text>
        <r>
          <rPr>
            <b/>
            <sz val="8"/>
            <color indexed="81"/>
            <rFont val="Tahoma"/>
            <family val="2"/>
          </rPr>
          <t>James Ianni:</t>
        </r>
        <r>
          <rPr>
            <sz val="8"/>
            <color indexed="81"/>
            <rFont val="Tahoma"/>
            <family val="2"/>
          </rPr>
          <t xml:space="preserve">
  The Initial Concentration field holds the starting concentration of each species in the reaction.</t>
        </r>
      </text>
    </comment>
    <comment ref="D2" authorId="0" shapeId="0" xr:uid="{00000000-0006-0000-0800-000004000000}">
      <text>
        <r>
          <rPr>
            <b/>
            <sz val="8"/>
            <color indexed="81"/>
            <rFont val="Tahoma"/>
            <family val="2"/>
          </rPr>
          <t>James Ianni:</t>
        </r>
        <r>
          <rPr>
            <sz val="8"/>
            <color indexed="81"/>
            <rFont val="Tahoma"/>
            <family val="2"/>
          </rPr>
          <t xml:space="preserve">
  The Display Output field can hold either a Yes or No (“Y” and “N” also work). If yes the respective species' concentration will be stored in the default output file, “CONC.TXT”, if no then the species' concentration will not be stored.</t>
        </r>
      </text>
    </comment>
    <comment ref="E2" authorId="0" shapeId="0" xr:uid="{00000000-0006-0000-0800-000005000000}">
      <text>
        <r>
          <rPr>
            <b/>
            <sz val="8"/>
            <color indexed="81"/>
            <rFont val="Tahoma"/>
            <family val="2"/>
          </rPr>
          <t>James Ianni:</t>
        </r>
        <r>
          <rPr>
            <sz val="8"/>
            <color indexed="81"/>
            <rFont val="Tahoma"/>
            <family val="2"/>
          </rPr>
          <t xml:space="preserve">
 The Residence Time in CSTR and the External Concentration fields are used together for the modeling of Continuous Stirred Tank Reactors (CSTR) or any other process that contains well mixed, isothermal reactions with external flux in and flux out:
 Naturally the External Concentration field does not contain the actual concentration of the external tank but the concentration that it will become once it is diluted in the CSTR before any reactions take place. 
</t>
        </r>
      </text>
    </comment>
    <comment ref="F2" authorId="0" shapeId="0" xr:uid="{00000000-0006-0000-0800-000006000000}">
      <text>
        <r>
          <rPr>
            <b/>
            <sz val="8"/>
            <color indexed="81"/>
            <rFont val="Tahoma"/>
            <family val="2"/>
          </rPr>
          <t>James Ianni:</t>
        </r>
        <r>
          <rPr>
            <sz val="8"/>
            <color indexed="81"/>
            <rFont val="Tahoma"/>
            <family val="2"/>
          </rPr>
          <t xml:space="preserve">
  Enter a Species Special Directive or leave at No or N. See manual for further descriptions on this new column introduced in Kintecus V3.96</t>
        </r>
      </text>
    </comment>
    <comment ref="G2" authorId="0" shapeId="0" xr:uid="{00000000-0006-0000-0800-000007000000}">
      <text>
        <r>
          <rPr>
            <b/>
            <sz val="8"/>
            <color indexed="81"/>
            <rFont val="Tahoma"/>
            <family val="2"/>
          </rPr>
          <t>James Ianni:</t>
        </r>
        <r>
          <rPr>
            <sz val="8"/>
            <color indexed="81"/>
            <rFont val="Tahoma"/>
            <family val="2"/>
          </rPr>
          <t xml:space="preserve">
The Constant File Field can hold one of three things: “No” (“N” works too), a number such as 4.234E-4 (in which case that species will always have that concentration of 4.23E-4 ) or the name of a file that contains values in a special format. The format is that the very first line that contains the time spacing (in seconds) between each data point. The lines that follow contain the data. Please make sure the very last data point has a carriage return or enter! Kintecus will place the respective data point at the respective time of the simulation from the constant file into the species’ concentration. If the time in the simulation goes beyond the time of the very last data point in the constant file, Kintecus will start over in the constant file using the very first data point and continue onward. If the very first line (the time spacing) has a minus sign in front of it, Kintecus will go through the entire data series once then automatically place the very last value in the datafile for the rest of the simulation time. Confused? Okay, here’s some examples:
Examples:
In the Profile_A.TXT file contains these values:
43200
2
1
For a species that has the filename Profile_A.TXT in it’s “CONSTANT FILE ?” field, Kintecus will load this concentration pulse step profile. Assuming Molar units, Kintecus will force the species to have a concentration of 2 Molar until at 43201 seconds where then the species concentration will drop to 1 Molar, at 86401 seconds the species will go back up to 2 Molar and this will repeat. Now, if the 43200 were -43200, then at time 86401 the concentration of the species will goto 1 and stay there for the entire simulation. If “-ADD” was appended to the file name (in this example “Profile_A.TXT-ADD” ), the species will NOT be a constant, but a variable with perturbations added to it during the simulation:
In the Profile_A.TXT file contains these values:
-500
0
0
1
When the simulation is running, the instant the time goes over 1000 seconds, 1 Molar will be added to the species containing the “Profile_A.TXT-ADD” in the “Constant File ?” field, Kintecus will not perform any more perturbations to the respective species. </t>
        </r>
      </text>
    </comment>
    <comment ref="H2" authorId="0" shapeId="0" xr:uid="{00000000-0006-0000-0800-000008000000}">
      <text>
        <r>
          <rPr>
            <b/>
            <sz val="8"/>
            <color indexed="81"/>
            <rFont val="Tahoma"/>
            <family val="2"/>
          </rPr>
          <t>James Ianni:</t>
        </r>
        <r>
          <rPr>
            <sz val="8"/>
            <color indexed="81"/>
            <rFont val="Tahoma"/>
            <family val="2"/>
          </rPr>
          <t xml:space="preserve">
Your comments/references/XML can be stored here</t>
        </r>
      </text>
    </comment>
    <comment ref="H7" authorId="1" shapeId="0" xr:uid="{00000000-0006-0000-0800-000009000000}">
      <text>
        <r>
          <rPr>
            <b/>
            <sz val="9"/>
            <color indexed="81"/>
            <rFont val="Tahoma"/>
            <family val="2"/>
          </rPr>
          <t xml:space="preserve">Woorim Lee:
</t>
        </r>
        <r>
          <rPr>
            <sz val="9"/>
            <color indexed="81"/>
            <rFont val="Tahoma"/>
            <family val="2"/>
          </rPr>
          <t>[chlorine]0, uM</t>
        </r>
      </text>
    </comment>
    <comment ref="H9" authorId="1" shapeId="0" xr:uid="{00000000-0006-0000-0800-00000A000000}">
      <text>
        <r>
          <rPr>
            <b/>
            <sz val="9"/>
            <color indexed="81"/>
            <rFont val="Tahoma"/>
            <family val="2"/>
          </rPr>
          <t>Woorim Lee:
pH</t>
        </r>
      </text>
    </comment>
  </commentList>
</comments>
</file>

<file path=xl/sharedStrings.xml><?xml version="1.0" encoding="utf-8"?>
<sst xmlns="http://schemas.openxmlformats.org/spreadsheetml/2006/main" count="489" uniqueCount="325">
  <si>
    <t>MOLES/LITER</t>
  </si>
  <si>
    <t>NOPE</t>
  </si>
  <si>
    <t>NO</t>
  </si>
  <si>
    <t>#</t>
  </si>
  <si>
    <t>END</t>
  </si>
  <si>
    <t>Comments</t>
  </si>
  <si>
    <t># Species</t>
  </si>
  <si>
    <t>Residence</t>
  </si>
  <si>
    <t>Initial</t>
  </si>
  <si>
    <t>Display Output</t>
  </si>
  <si>
    <t xml:space="preserve">  External</t>
  </si>
  <si>
    <t>Constant File?</t>
  </si>
  <si>
    <t xml:space="preserve">#     </t>
  </si>
  <si>
    <t>Time in CSTR(s)</t>
  </si>
  <si>
    <t>Conc.</t>
  </si>
  <si>
    <t>(Y/N) ?</t>
  </si>
  <si>
    <t>(Filename/#/No)</t>
  </si>
  <si>
    <t xml:space="preserve"> </t>
  </si>
  <si>
    <t>Parameter Description SpreadSheet</t>
  </si>
  <si>
    <t>Ea UNITS (Kcal, KJ,J,CAL,K)</t>
  </si>
  <si>
    <t>Conc. Units(moles/L, moles/cc, molecules/cc)</t>
  </si>
  <si>
    <t>X0</t>
  </si>
  <si>
    <t>#Temperature (K) or Filename</t>
  </si>
  <si>
    <t>Pressure (Constant ? (Yes/No) )</t>
  </si>
  <si>
    <t>Volume Profile (Filename/No)</t>
  </si>
  <si>
    <t># Simulation Length:</t>
  </si>
  <si>
    <t>#       DAYS</t>
  </si>
  <si>
    <t>Hours</t>
  </si>
  <si>
    <t>Minutes</t>
  </si>
  <si>
    <t>Seconds</t>
  </si>
  <si>
    <t>PicoSeconds</t>
  </si>
  <si>
    <t xml:space="preserve">                                                     </t>
  </si>
  <si>
    <t>#hv(filename)</t>
  </si>
  <si>
    <t>Sampling Interval (s)</t>
  </si>
  <si>
    <t>Percent(%)</t>
  </si>
  <si>
    <t>Accuracy</t>
  </si>
  <si>
    <t>None1</t>
  </si>
  <si>
    <t>Species Description Spreadsheet</t>
  </si>
  <si>
    <t xml:space="preserve">Kintecus Switches </t>
  </si>
  <si>
    <t># See .pdf file for an explanation of each field</t>
  </si>
  <si>
    <t>Kintecus Control Spreadsheet Page</t>
  </si>
  <si>
    <t>Kintecus PATH (where Kintecus.exe and your files are located at. ie. C:\KINTECUS\ )</t>
  </si>
  <si>
    <t>#  THESE FIELDS BELOW (X0) ARE CURRENTLY NOT USED, LEAVE THEM AT 0</t>
  </si>
  <si>
    <t>Maximum Integration Time</t>
  </si>
  <si>
    <t>NOTE** Most cells have comments which can be permanently shown on screen (like the one in this cell) by right
 clicking the cell and selecting "Show Comment", to hide, right click cell and select "Hide Comment"</t>
  </si>
  <si>
    <t xml:space="preserve">  </t>
  </si>
  <si>
    <t xml:space="preserve"> Time(s)  </t>
  </si>
  <si>
    <t># fitdata worksheet contains your experimental or "fabricated" data</t>
  </si>
  <si>
    <t># for which Kintecus will fit your selected parameters to</t>
  </si>
  <si>
    <t># An 'N' or 'NaN' or 'None' in a cell represents NO data for that species at that time</t>
  </si>
  <si>
    <t># IMPORTANT NOTE!, the excel macros "latch" on column headings above</t>
  </si>
  <si>
    <t># so you should ONLY have the Time(s) and the name of each species in row 1</t>
  </si>
  <si>
    <t>RUN YOUR MODEL IN SIX STEPS</t>
  </si>
  <si>
    <r>
      <t>0)</t>
    </r>
    <r>
      <rPr>
        <sz val="10"/>
        <rFont val="Arial"/>
        <family val="2"/>
      </rPr>
      <t xml:space="preserve"> Before we start, most worksheets have special comments in cells
to help you out. You can recognize the comments by the red, small triangle
in the upper-right hand corner like the one this cell has. Just move your pointer over
the cell to see the comment. To see all the comments, under the "View" menu, select the "Comments" menu item</t>
    </r>
  </si>
  <si>
    <r>
      <t>1)</t>
    </r>
    <r>
      <rPr>
        <sz val="10"/>
        <rFont val="Arial"/>
        <family val="2"/>
      </rPr>
      <t xml:space="preserve"> Click the "model" worksheet tab below and enter your reactions in 
the cells provided.</t>
    </r>
  </si>
  <si>
    <r>
      <t>2)</t>
    </r>
    <r>
      <rPr>
        <sz val="10"/>
        <rFont val="Arial"/>
        <family val="2"/>
      </rPr>
      <t xml:space="preserve"> Click the "CONTROL" worksheet tab below and click
 the "Make Species Spreadsheet from Model"</t>
    </r>
  </si>
  <si>
    <r>
      <t>3)</t>
    </r>
    <r>
      <rPr>
        <sz val="10"/>
        <rFont val="Arial"/>
        <family val="2"/>
      </rPr>
      <t xml:space="preserve"> Click the "species" worksheet tab below and edit the initial concentrations, type a "Y" in the "Display Output ?" column for any species you wish to plot.</t>
    </r>
  </si>
  <si>
    <r>
      <t>4)</t>
    </r>
    <r>
      <rPr>
        <sz val="10"/>
        <rFont val="Arial"/>
        <family val="2"/>
      </rPr>
      <t xml:space="preserve"> Click the "parm" worksheet tab and enter your desired simulation time in the DAYS,HOURS, MINUTES, SECONDS cells</t>
    </r>
  </si>
  <si>
    <r>
      <t>5)</t>
    </r>
    <r>
      <rPr>
        <sz val="10"/>
        <rFont val="Arial"/>
        <family val="2"/>
      </rPr>
      <t xml:space="preserve"> Click the "CONTROL" worksheet tab below and click
 the "RUN" button. If you do not have a registration key, you will also
have to press the ENTER key three times in the KINTECUS window
(ie, click in the KINTECUS window, press ENTER three times)</t>
    </r>
  </si>
  <si>
    <r>
      <t>6)</t>
    </r>
    <r>
      <rPr>
        <sz val="10"/>
        <rFont val="Arial"/>
        <family val="2"/>
      </rPr>
      <t xml:space="preserve"> Click the "Plot Results" button on the CONTROL worksheet. That's it!!</t>
    </r>
  </si>
  <si>
    <r>
      <t>8) OPTIONAL:</t>
    </r>
    <r>
      <rPr>
        <sz val="10"/>
        <rFont val="Arial"/>
        <family val="2"/>
      </rPr>
      <t xml:space="preserve"> If you wish to include temperature evolution plots and reverse rate autocalculations, type -THERM on the Kintecus Switches cell located on the CONTROL worksheet. See the excel file "Combustion_workbook_OH.xls" as an example!</t>
    </r>
  </si>
  <si>
    <r>
      <t>9) OPTIONAL:</t>
    </r>
    <r>
      <rPr>
        <sz val="10"/>
        <rFont val="Arial"/>
        <family val="2"/>
      </rPr>
      <t xml:space="preserve"> If you wish to FIT experimental data to a model, enter your data in the "fitdata" worksheet, with Time(s) as the first column, first row. The species names should follow the Time(s) heading on the same row. Place your species/temperature data under the appropriate species column (if a species is missing data for a time point, place an “N” in the cell). Append a question mark, "?", to the end of values you wish for Kintecus to regress/fit. Type the additional switch "–FIT:2:3:FITDATA.TXT" in the KINTECUS SWITCHES cell located on the CONTROL worksheet. You can also try–FIT:1:3:FITDATA.TXT , -FIT:1:1:FITDATA.TXT and –FIT:2:1:FITDATA.TXT. Run Kintecus. You can see the "Enzyme_Regression_Fitting.xls" file as an example!!</t>
    </r>
  </si>
  <si>
    <t>Species1</t>
  </si>
  <si>
    <t>Species2</t>
  </si>
  <si>
    <t>Species3</t>
  </si>
  <si>
    <t>SpeciesN</t>
  </si>
  <si>
    <t>Thermodynamic Description Spreadsheet</t>
  </si>
  <si>
    <t># Database</t>
  </si>
  <si>
    <t>Database</t>
  </si>
  <si>
    <t>Species</t>
  </si>
  <si>
    <t># FileName</t>
  </si>
  <si>
    <t>INPUT</t>
  </si>
  <si>
    <t>MAP</t>
  </si>
  <si>
    <t>Special Switches</t>
  </si>
  <si>
    <t>Reservation List</t>
  </si>
  <si>
    <t>ethanol_therm.txt</t>
  </si>
  <si>
    <t>F18:IG6:F20:F1:F10:F10:F10:NL:F15:F15:F15:F15:F15:NL:F15:F15:F15:F15:F15:NL:F15:F15:F15:F15</t>
  </si>
  <si>
    <t>SP:CMW:PH:LT:HT:CT:HA1:HA2:HA3:HA4:HA5:HA6:HA7:LA1:LA2:LA3:LA4:LA5:LA6:LA7</t>
  </si>
  <si>
    <t>1995_NASA_data</t>
  </si>
  <si>
    <t>F18:IG26:F1:F10:F10:F14:NL:F15:F15:F15:F15:F15:NL:F15:F15:F15:F15:F15:NL:F15:F15:F15:F15</t>
  </si>
  <si>
    <t>SP:PH:LT:HT:MW:HA1:HA2:HA3:HA4:HA5:HA6:HA7:LA1:LA2:LA3:LA4:LA5:LA6:LA7</t>
  </si>
  <si>
    <t>U1234:UPPL:CHF:FLUFF:PHS:SET(CT=1000):SYN</t>
  </si>
  <si>
    <t>F18:IG26:F1:F10:F10:F10:NL:F15:F15:F15:F15:F15:NL:F15:F15:F15:F15:F15:NL:F15:F15:F15:F15</t>
  </si>
  <si>
    <t>FREE</t>
  </si>
  <si>
    <t>SP:PH:LT:CT:HT:LA1:LA2:LA3:LA4:LA5:LA6:LA7:HA1:HA2:HA3:HA4:HA5:HA6:HA7</t>
  </si>
  <si>
    <t>NONE</t>
  </si>
  <si>
    <t>thermo30.dat</t>
  </si>
  <si>
    <t># 1995_Burcat_data</t>
  </si>
  <si>
    <t># freetest.dat</t>
  </si>
  <si>
    <t>SP:PH:LT:HT:CT:HA1:HA2:HA3:HA4:HA5:HA6:HA7:LA1:LA2:LA3:LA4:LA5:LA6:LA7</t>
  </si>
  <si>
    <t>1994_thermo.dat</t>
  </si>
  <si>
    <t>KCAL</t>
  </si>
  <si>
    <t>Model Description SpreadSheet</t>
  </si>
  <si>
    <t>Reaction</t>
  </si>
  <si>
    <t># k</t>
  </si>
  <si>
    <t># Starting Integration Time</t>
  </si>
  <si>
    <t>U1234:UPPL:CHF:FLUFF:SET(CT=1000):SYN</t>
  </si>
  <si>
    <t>U1234:UPPL:CHF:UPC</t>
  </si>
  <si>
    <t>U1234:CHF</t>
  </si>
  <si>
    <t>U1234:FLUFF:CHF</t>
  </si>
  <si>
    <r>
      <t>11)</t>
    </r>
    <r>
      <rPr>
        <sz val="10"/>
        <rFont val="Arial"/>
        <family val="2"/>
      </rPr>
      <t xml:space="preserve"> Prefixing the name of a worksheet with an "O_" will cause the entire worksheet to be
written out as a tab-delimited text file. This allows you to save your perturbation files, 
databases, periodic tables, chemname files to be store in the Excel workbook. 
See the wolfrum or the GRI-MECH Excel workbook for an an example!</t>
    </r>
  </si>
  <si>
    <t xml:space="preserve">External Heat Source/Sink # OR Profile (Filename) </t>
  </si>
  <si>
    <t>OR Condutance:Extern. Temp OR Conductance:Ext.Temp. Profile (Filename)</t>
  </si>
  <si>
    <t>No</t>
  </si>
  <si>
    <r>
      <t>12) OPTIONAL:</t>
    </r>
    <r>
      <rPr>
        <sz val="10"/>
        <rFont val="Arial"/>
        <family val="2"/>
      </rPr>
      <t xml:space="preserve"> You can calculate uncertainty bands just by adding the “-conf” switch on the command line. If you are in Excel, you will automatically see these plotted!</t>
    </r>
  </si>
  <si>
    <r>
      <t>13)</t>
    </r>
    <r>
      <rPr>
        <sz val="10"/>
        <rFont val="Arial"/>
        <family val="2"/>
      </rPr>
      <t xml:space="preserve"> There are many other interesting things you can do with your model, so please
be sure to read the Kintecus.pdf documentation!</t>
    </r>
  </si>
  <si>
    <t># CSTR/PFR inlet Flow Temperature</t>
  </si>
  <si>
    <t>Kintecus Registration/Unlocking Key (enter in the cell below)</t>
  </si>
  <si>
    <t>Species Special</t>
  </si>
  <si>
    <t>Directives ? (/N)</t>
  </si>
  <si>
    <t>HOCl ==&gt; H+ + ClO-</t>
  </si>
  <si>
    <t>O- + H+ ==&gt; OH</t>
  </si>
  <si>
    <t>OH + Cl- ==&gt; ClOH-</t>
  </si>
  <si>
    <t>ClOH- ==&gt; OH + Cl-</t>
  </si>
  <si>
    <t>ClOH- ==&gt; OH- + Cl</t>
  </si>
  <si>
    <t># In the presence of Benzoic Acid</t>
  </si>
  <si>
    <t>HOCl ==&gt; OH + Cl</t>
  </si>
  <si>
    <t>HO2 ==&gt; O2- + H+</t>
  </si>
  <si>
    <t>Conc.</t>
    <phoneticPr fontId="0" type="noConversion"/>
  </si>
  <si>
    <t>No</t>
    <phoneticPr fontId="0" type="noConversion"/>
  </si>
  <si>
    <t xml:space="preserve">H+ </t>
  </si>
  <si>
    <t>U(254)</t>
  </si>
  <si>
    <t>J/ES</t>
  </si>
  <si>
    <t>εHOCl, 254</t>
    <phoneticPr fontId="23" type="noConversion"/>
  </si>
  <si>
    <t>M-1cm-1</t>
    <phoneticPr fontId="23" type="noConversion"/>
  </si>
  <si>
    <t>m2 mol-1</t>
    <phoneticPr fontId="23" type="noConversion"/>
  </si>
  <si>
    <t>mol/E</t>
    <phoneticPr fontId="23" type="noConversion"/>
  </si>
  <si>
    <t>εOCl-, 254</t>
    <phoneticPr fontId="23" type="noConversion"/>
  </si>
  <si>
    <t>M-1cm-1</t>
    <phoneticPr fontId="23" type="noConversion"/>
  </si>
  <si>
    <t>m2 mol-1</t>
    <phoneticPr fontId="23" type="noConversion"/>
  </si>
  <si>
    <t>ΦOCl-, 254</t>
    <phoneticPr fontId="23" type="noConversion"/>
  </si>
  <si>
    <t>mol/E</t>
    <phoneticPr fontId="23" type="noConversion"/>
  </si>
  <si>
    <t>W/cm2</t>
    <phoneticPr fontId="23" type="noConversion"/>
  </si>
  <si>
    <t>Es m-2 s-1</t>
    <phoneticPr fontId="23" type="noConversion"/>
  </si>
  <si>
    <t>Es cm-2 s-1</t>
    <phoneticPr fontId="23" type="noConversion"/>
  </si>
  <si>
    <t xml:space="preserve"> </t>
    <phoneticPr fontId="0" type="noConversion"/>
  </si>
  <si>
    <t xml:space="preserve"> </t>
    <phoneticPr fontId="0" type="noConversion"/>
  </si>
  <si>
    <t>ClO- ==&gt; O- + Cl</t>
    <phoneticPr fontId="1" type="noConversion"/>
  </si>
  <si>
    <t>Calculated</t>
    <phoneticPr fontId="23" type="noConversion"/>
  </si>
  <si>
    <t>C6H5COO- + H+ ==&gt; C6H5COOH</t>
    <phoneticPr fontId="23" type="noConversion"/>
  </si>
  <si>
    <t>Assumed</t>
    <phoneticPr fontId="23" type="noConversion"/>
  </si>
  <si>
    <t># OH radical equilibrium</t>
    <phoneticPr fontId="1" type="noConversion"/>
  </si>
  <si>
    <t>O- + H+ ==&gt; OH</t>
    <phoneticPr fontId="23" type="noConversion"/>
  </si>
  <si>
    <t>OH ==&gt; O- + H+</t>
    <phoneticPr fontId="23" type="noConversion"/>
  </si>
  <si>
    <t>C6H5COOH ==&gt; C6H5COO- + H+</t>
    <phoneticPr fontId="23" type="noConversion"/>
  </si>
  <si>
    <t>O2- + H+ ==&gt; HO2</t>
    <phoneticPr fontId="1" type="noConversion"/>
  </si>
  <si>
    <t>H+ + ClO- ==&gt; HOCl</t>
    <phoneticPr fontId="1" type="noConversion"/>
  </si>
  <si>
    <t>=</t>
    <phoneticPr fontId="0" type="noConversion"/>
  </si>
  <si>
    <t>Cl2O2 + H2O ==&gt; ClO- + ClO2- + 2H+</t>
  </si>
  <si>
    <t>Cl2O2 + H2O ==&gt; ClO- + ClO2- + 2H+</t>
    <phoneticPr fontId="1" type="noConversion"/>
  </si>
  <si>
    <t>Cl2O2 + H2O ==&gt; Cl- + O2 + ClO- + 2H+</t>
  </si>
  <si>
    <t>Cl2O2 + H2O ==&gt; Cl- + O2 + ClO- + 2H+</t>
    <phoneticPr fontId="1" type="noConversion"/>
  </si>
  <si>
    <t>Cl2O2 + ClO2- ==&gt; ClO3- + Cl2O</t>
    <phoneticPr fontId="1" type="noConversion"/>
  </si>
  <si>
    <t>ClOH- + H+ ==&gt; Cl + H2O</t>
    <phoneticPr fontId="1" type="noConversion"/>
  </si>
  <si>
    <t>OH + OH- ==&gt; O- + H2O</t>
    <phoneticPr fontId="23" type="noConversion"/>
  </si>
  <si>
    <t xml:space="preserve">      HOCl</t>
    <phoneticPr fontId="0" type="noConversion"/>
  </si>
  <si>
    <t>No</t>
    <phoneticPr fontId="0" type="noConversion"/>
  </si>
  <si>
    <t xml:space="preserve">        OH</t>
    <phoneticPr fontId="0" type="noConversion"/>
  </si>
  <si>
    <t>No</t>
    <phoneticPr fontId="0" type="noConversion"/>
  </si>
  <si>
    <t xml:space="preserve">        Cl</t>
    <phoneticPr fontId="0" type="noConversion"/>
  </si>
  <si>
    <t xml:space="preserve">      ClO-</t>
    <phoneticPr fontId="0" type="noConversion"/>
  </si>
  <si>
    <t xml:space="preserve">        O-</t>
    <phoneticPr fontId="0" type="noConversion"/>
  </si>
  <si>
    <t xml:space="preserve">        H+</t>
    <phoneticPr fontId="0" type="noConversion"/>
  </si>
  <si>
    <t xml:space="preserve">       Cl-</t>
    <phoneticPr fontId="0" type="noConversion"/>
  </si>
  <si>
    <t xml:space="preserve">      Cl2-</t>
    <phoneticPr fontId="0" type="noConversion"/>
  </si>
  <si>
    <t xml:space="preserve">     ClOH-</t>
    <phoneticPr fontId="0" type="noConversion"/>
  </si>
  <si>
    <t xml:space="preserve">       OH-</t>
    <phoneticPr fontId="0" type="noConversion"/>
  </si>
  <si>
    <t xml:space="preserve">       H2O</t>
    <phoneticPr fontId="0" type="noConversion"/>
  </si>
  <si>
    <t xml:space="preserve">       ClO</t>
    <phoneticPr fontId="0" type="noConversion"/>
  </si>
  <si>
    <t xml:space="preserve">     Cl2O2</t>
    <phoneticPr fontId="0" type="noConversion"/>
  </si>
  <si>
    <t>No</t>
    <phoneticPr fontId="0" type="noConversion"/>
  </si>
  <si>
    <t xml:space="preserve">     ClO2-</t>
    <phoneticPr fontId="0" type="noConversion"/>
  </si>
  <si>
    <t xml:space="preserve">      Cl2O</t>
    <phoneticPr fontId="0" type="noConversion"/>
  </si>
  <si>
    <t xml:space="preserve">      ClO2</t>
    <phoneticPr fontId="0" type="noConversion"/>
  </si>
  <si>
    <t xml:space="preserve">     ClO3-</t>
    <phoneticPr fontId="0" type="noConversion"/>
  </si>
  <si>
    <t xml:space="preserve">      H2O2</t>
    <phoneticPr fontId="0" type="noConversion"/>
  </si>
  <si>
    <t xml:space="preserve">       HO2</t>
    <phoneticPr fontId="0" type="noConversion"/>
  </si>
  <si>
    <t xml:space="preserve">      HO2-</t>
    <phoneticPr fontId="0" type="noConversion"/>
  </si>
  <si>
    <t>No</t>
    <phoneticPr fontId="1" type="noConversion"/>
  </si>
  <si>
    <t xml:space="preserve">        O2</t>
    <phoneticPr fontId="0" type="noConversion"/>
  </si>
  <si>
    <t xml:space="preserve">       O2-</t>
    <phoneticPr fontId="0" type="noConversion"/>
  </si>
  <si>
    <t xml:space="preserve">  C6H5COO-</t>
    <phoneticPr fontId="0" type="noConversion"/>
  </si>
  <si>
    <t xml:space="preserve">         P</t>
    <phoneticPr fontId="0" type="noConversion"/>
  </si>
  <si>
    <t xml:space="preserve">  C6H5COOH</t>
    <phoneticPr fontId="0" type="noConversion"/>
  </si>
  <si>
    <t xml:space="preserve">  C6H5NO2-</t>
    <phoneticPr fontId="0" type="noConversion"/>
  </si>
  <si>
    <t xml:space="preserve">        CH3CH3CH3COH</t>
    <phoneticPr fontId="0" type="noConversion"/>
  </si>
  <si>
    <t>Y</t>
    <phoneticPr fontId="0" type="noConversion"/>
  </si>
  <si>
    <t xml:space="preserve">OH </t>
  </si>
  <si>
    <t xml:space="preserve">Cl </t>
  </si>
  <si>
    <t># HOCl radical equilibrium</t>
    <phoneticPr fontId="1" type="noConversion"/>
  </si>
  <si>
    <t>HOCl ==&gt; OCl- + H+</t>
    <phoneticPr fontId="23" type="noConversion"/>
  </si>
  <si>
    <t xml:space="preserve">C6H5NO2- </t>
  </si>
  <si>
    <r>
      <t>#</t>
    </r>
    <r>
      <rPr>
        <sz val="10"/>
        <rFont val="Arial"/>
        <family val="2"/>
      </rPr>
      <t>Chlorine photolysis</t>
    </r>
    <phoneticPr fontId="19" type="noConversion"/>
  </si>
  <si>
    <t xml:space="preserve"> </t>
    <phoneticPr fontId="0" type="noConversion"/>
  </si>
  <si>
    <r>
      <t>10) OPTIONAL:</t>
    </r>
    <r>
      <rPr>
        <sz val="10"/>
        <rFont val="Arial"/>
        <family val="2"/>
      </rPr>
      <t xml:space="preserve"> If you wish to do sensitivity analysis just use the –SENSIT:1 on the command
line.</t>
    </r>
    <phoneticPr fontId="0" type="noConversion"/>
  </si>
  <si>
    <t>ClO2 + ClO ==&gt; Cl2O3</t>
    <phoneticPr fontId="0" type="noConversion"/>
  </si>
  <si>
    <t xml:space="preserve">C6H5COO- </t>
  </si>
  <si>
    <t xml:space="preserve"> </t>
    <phoneticPr fontId="0" type="noConversion"/>
  </si>
  <si>
    <t xml:space="preserve"> </t>
    <phoneticPr fontId="0" type="noConversion"/>
  </si>
  <si>
    <t>O- + H2O ==&gt; OH + OH-</t>
    <phoneticPr fontId="0" type="noConversion"/>
  </si>
  <si>
    <t xml:space="preserve">O- </t>
  </si>
  <si>
    <t xml:space="preserve">     Cl2O3</t>
  </si>
  <si>
    <t>2ClO ==&gt; Cl2O2</t>
    <phoneticPr fontId="0" type="noConversion"/>
  </si>
  <si>
    <t>pKa</t>
    <phoneticPr fontId="1" type="noConversion"/>
  </si>
  <si>
    <t>OCl- + H+ ==&gt; HOCl</t>
    <phoneticPr fontId="23" type="noConversion"/>
  </si>
  <si>
    <t>calculated</t>
    <phoneticPr fontId="0" type="noConversion"/>
  </si>
  <si>
    <t>No</t>
    <phoneticPr fontId="0" type="noConversion"/>
  </si>
  <si>
    <t xml:space="preserve">         CH3CH3CH3CO</t>
  </si>
  <si>
    <t xml:space="preserve"> </t>
    <phoneticPr fontId="0" type="noConversion"/>
  </si>
  <si>
    <t>E'avg</t>
    <phoneticPr fontId="23" type="noConversion"/>
  </si>
  <si>
    <t>H2O2 ==&gt; HO2- + H+</t>
  </si>
  <si>
    <t>HO2- + H+ ==&gt; H2O2</t>
  </si>
  <si>
    <t>ClO2- + ClO ==&gt; ClO2 + ClO-</t>
    <phoneticPr fontId="0" type="noConversion"/>
  </si>
  <si>
    <t># Hydrogen peroxide equilibrium</t>
    <phoneticPr fontId="0" type="noConversion"/>
  </si>
  <si>
    <t># Calculation for ClO, Cl2O2</t>
    <phoneticPr fontId="1" type="noConversion"/>
  </si>
  <si>
    <t># Superoxide equilibrium</t>
    <phoneticPr fontId="0" type="noConversion"/>
  </si>
  <si>
    <t>O2- + H+ ==&gt; HO2</t>
  </si>
  <si>
    <t>K</t>
    <phoneticPr fontId="1" type="noConversion"/>
  </si>
  <si>
    <t>ΦHOCl, 254</t>
    <phoneticPr fontId="23" type="noConversion"/>
  </si>
  <si>
    <t xml:space="preserve">HOCl </t>
  </si>
  <si>
    <t xml:space="preserve">ClO- </t>
  </si>
  <si>
    <t xml:space="preserve">ClO </t>
  </si>
  <si>
    <t xml:space="preserve">ClO3- </t>
  </si>
  <si>
    <t>Y</t>
    <phoneticPr fontId="0" type="noConversion"/>
  </si>
  <si>
    <t>OH ==&gt; O- + H+</t>
    <phoneticPr fontId="0" type="noConversion"/>
  </si>
  <si>
    <t>Cl + H2O ==&gt; ClOH- + H+</t>
  </si>
  <si>
    <r>
      <t>ΦOCl-, 254</t>
    </r>
    <r>
      <rPr>
        <sz val="10"/>
        <rFont val="Arial"/>
        <family val="2"/>
      </rPr>
      <t xml:space="preserve"> for O1D</t>
    </r>
    <phoneticPr fontId="23" type="noConversion"/>
  </si>
  <si>
    <t>ΦOCl-, 254 for O3P</t>
    <phoneticPr fontId="23" type="noConversion"/>
  </si>
  <si>
    <t xml:space="preserve">     O(1D)</t>
  </si>
  <si>
    <t xml:space="preserve">     O(3P)</t>
  </si>
  <si>
    <t xml:space="preserve">        O3</t>
  </si>
  <si>
    <t>-show -ig:charge -ig:mass</t>
    <phoneticPr fontId="0" type="noConversion"/>
  </si>
  <si>
    <t xml:space="preserve">      CH2O</t>
  </si>
  <si>
    <t>~4 ppm</t>
    <phoneticPr fontId="0" type="noConversion"/>
  </si>
  <si>
    <t>Cl + CH3CH3CH3COH ==&gt; CH2CH3CH3COH + H+ + Cl-</t>
    <phoneticPr fontId="0" type="noConversion"/>
  </si>
  <si>
    <r>
      <t xml:space="preserve">        CH2CH3CH3</t>
    </r>
    <r>
      <rPr>
        <sz val="10"/>
        <rFont val="Arial"/>
        <family val="2"/>
      </rPr>
      <t>C</t>
    </r>
    <r>
      <rPr>
        <sz val="10"/>
        <rFont val="Arial"/>
        <family val="2"/>
      </rPr>
      <t>OH</t>
    </r>
    <phoneticPr fontId="0" type="noConversion"/>
  </si>
  <si>
    <t xml:space="preserve">      OOCH2CH3CH3COH</t>
  </si>
  <si>
    <t>OH + CH3CH3CH3COH ==&gt; CH2CH3CH3COH + H2O</t>
    <phoneticPr fontId="0" type="noConversion"/>
  </si>
  <si>
    <t>O- + CH3CH3CH3COH ==&gt; CH2CH3CH3COH + OH-</t>
    <phoneticPr fontId="0" type="noConversion"/>
  </si>
  <si>
    <t>2OOCH2CH3CH3COH ==&gt; O2 + HOCH3CH3CCH2OOCH2CCH3CH3OH</t>
    <phoneticPr fontId="0" type="noConversion"/>
  </si>
  <si>
    <t>2OOCH2CH3CH3COH ==&gt; O2 + 2CH2O + 2CCH3CH3OH</t>
    <phoneticPr fontId="0" type="noConversion"/>
  </si>
  <si>
    <t>CCH3CH3OH + O2 ==&gt; OOCCH3CH3OH</t>
    <phoneticPr fontId="0" type="noConversion"/>
  </si>
  <si>
    <t>OOCCH3CH3OH ==&gt; CH3CH3CO + HO2</t>
    <phoneticPr fontId="0" type="noConversion"/>
  </si>
  <si>
    <t xml:space="preserve">      HOCCH3CH3CH2OH</t>
  </si>
  <si>
    <t xml:space="preserve">        HOCCH3CH3CHO</t>
  </si>
  <si>
    <t xml:space="preserve"> CCH3CH3OH</t>
  </si>
  <si>
    <t xml:space="preserve">    HOCH3CH3CCH2OOCH2CCH3CH3OH</t>
  </si>
  <si>
    <t xml:space="preserve">         OOCCH3CH3OH</t>
  </si>
  <si>
    <t xml:space="preserve">  CH3CH3CO</t>
  </si>
  <si>
    <t>HOCl + H2O2 ==&gt; O2 + H2O + Cl- + H+</t>
    <phoneticPr fontId="0" type="noConversion"/>
  </si>
  <si>
    <t>HOCl + HO2 ==&gt; Cl + OH- + O2</t>
    <phoneticPr fontId="0" type="noConversion"/>
  </si>
  <si>
    <t>ClO- + H2O2 ==&gt; O2 + H2O + Cl-</t>
    <phoneticPr fontId="0" type="noConversion"/>
  </si>
  <si>
    <t>ClO- + O2- + H2O ==&gt; Cl + 2OH- + O2</t>
    <phoneticPr fontId="0" type="noConversion"/>
  </si>
  <si>
    <t>HOCl + O2- ==&gt; OH + O2 + Cl-</t>
    <phoneticPr fontId="0" type="noConversion"/>
  </si>
  <si>
    <t>Cl + CH3CH3CH3COH ==&gt; CH3CH3CH3CO + H+ + Cl-</t>
    <phoneticPr fontId="0" type="noConversion"/>
  </si>
  <si>
    <r>
      <t>#</t>
    </r>
    <r>
      <rPr>
        <sz val="10"/>
        <rFont val="Arial"/>
        <family val="2"/>
      </rPr>
      <t>Chlorine photolysis</t>
    </r>
    <phoneticPr fontId="19" type="noConversion"/>
  </si>
  <si>
    <t>HOCl + HO2- ==&gt; O2 + H2O + Cl-</t>
    <phoneticPr fontId="0" type="noConversion"/>
  </si>
  <si>
    <t>k21</t>
    <phoneticPr fontId="0" type="noConversion"/>
  </si>
  <si>
    <t>k22</t>
    <phoneticPr fontId="0" type="noConversion"/>
  </si>
  <si>
    <t>k20</t>
    <phoneticPr fontId="0" type="noConversion"/>
  </si>
  <si>
    <t>k20/1.93</t>
    <phoneticPr fontId="0" type="noConversion"/>
  </si>
  <si>
    <t>k20*1.3*10^5</t>
    <phoneticPr fontId="0" type="noConversion"/>
  </si>
  <si>
    <t>HOCl + O2- ==&gt; Cl + OH- + O2</t>
    <phoneticPr fontId="0" type="noConversion"/>
  </si>
  <si>
    <t xml:space="preserve">       Cl2</t>
  </si>
  <si>
    <t xml:space="preserve">      Cl3-</t>
  </si>
  <si>
    <t xml:space="preserve">Cl + OH- ==&gt; ClOH- </t>
    <phoneticPr fontId="23" type="noConversion"/>
  </si>
  <si>
    <t>Cl2O3 + H2O ==&gt; ClO3- + HOCl + H+</t>
    <phoneticPr fontId="0" type="noConversion"/>
  </si>
  <si>
    <t>CH2CH3CH3COH + O2 ==&gt; OOCH2CH3CH3COH</t>
    <phoneticPr fontId="0" type="noConversion"/>
  </si>
  <si>
    <t>2OOCH2CH3CH3COH ==&gt; H2O2 + 2HOCCH3CH3CHO</t>
    <phoneticPr fontId="0" type="noConversion"/>
  </si>
  <si>
    <t>2OOCH2CH3CH3COH ==&gt; O2 + HOCCH3CH3CH2OH + HOCCH3CH3CHO</t>
    <phoneticPr fontId="0" type="noConversion"/>
  </si>
  <si>
    <t>Y</t>
    <phoneticPr fontId="0" type="noConversion"/>
  </si>
  <si>
    <t>Cl + C6H5COO- ==&gt; P</t>
    <phoneticPr fontId="0" type="noConversion"/>
  </si>
  <si>
    <t>ClO- ==&gt; Cl- + O(1D)</t>
    <phoneticPr fontId="1" type="noConversion"/>
  </si>
  <si>
    <t>ClO + C6H5COO- ==&gt; P</t>
    <phoneticPr fontId="0" type="noConversion"/>
  </si>
  <si>
    <t>Cl + Cl- ==&gt; Cl2-</t>
  </si>
  <si>
    <t>Cl2- ==&gt; Cl + Cl-</t>
  </si>
  <si>
    <t>ClOH- + Cl- ==&gt; Cl2- + OH-</t>
    <phoneticPr fontId="1" type="noConversion"/>
  </si>
  <si>
    <t>Cl2- + OH- ==&gt; ClOH- + Cl-</t>
    <phoneticPr fontId="23" type="noConversion"/>
  </si>
  <si>
    <t>Cl2- + Cl2- ==&gt; Cl3- + Cl-</t>
  </si>
  <si>
    <t>Cl2- + Cl2- ==&gt; Cl2 + Cl- + Cl-</t>
    <phoneticPr fontId="1" type="noConversion"/>
  </si>
  <si>
    <t>Cl2- + ClO- ==&gt; Cl- + Cl- + ClO</t>
    <phoneticPr fontId="1" type="noConversion"/>
  </si>
  <si>
    <t>OH + C6H5NO2- ==&gt; P</t>
    <phoneticPr fontId="0" type="noConversion"/>
  </si>
  <si>
    <t>OH + C6H5COO- ==&gt; P</t>
    <phoneticPr fontId="0" type="noConversion"/>
  </si>
  <si>
    <t>Cl2- + C6H5COO- ==&gt; P</t>
    <phoneticPr fontId="0" type="noConversion"/>
  </si>
  <si>
    <t>C6H5COO- + H+ ==&gt; C6H5COOH</t>
  </si>
  <si>
    <t>C6H5COOH ==&gt; C6H5COO- + H+</t>
  </si>
  <si>
    <t>#ozone photolysis</t>
    <phoneticPr fontId="19" type="noConversion"/>
  </si>
  <si>
    <t>O3 ==&gt; H2O2</t>
    <phoneticPr fontId="19" type="noConversion"/>
  </si>
  <si>
    <t>εO3, 254</t>
    <phoneticPr fontId="23" type="noConversion"/>
  </si>
  <si>
    <t>HOCl + OH ==&gt; ClO + H2O</t>
    <phoneticPr fontId="0" type="noConversion"/>
  </si>
  <si>
    <t>ClO- + OH ==&gt; ClO + OH-</t>
    <phoneticPr fontId="1" type="noConversion"/>
  </si>
  <si>
    <t>HOCl + Cl ==&gt; H+ + Cl- + ClO</t>
    <phoneticPr fontId="1" type="noConversion"/>
  </si>
  <si>
    <t>ClO- + Cl ==&gt; Cl- + ClO</t>
    <phoneticPr fontId="1" type="noConversion"/>
  </si>
  <si>
    <t>O(1D) + H2O ==&gt; 0.9H2O2 + 0.2OH</t>
    <phoneticPr fontId="1" type="noConversion"/>
  </si>
  <si>
    <t>O3 ==&gt; 0.91O(1D) + 0.09O(3P) + O2</t>
    <phoneticPr fontId="0" type="noConversion"/>
  </si>
  <si>
    <t>ClO- ==&gt; Cl- + O(3P)</t>
    <phoneticPr fontId="1" type="noConversion"/>
  </si>
  <si>
    <t>ClO- + O3 ==&gt; 2O2 + Cl-</t>
    <phoneticPr fontId="0" type="noConversion"/>
  </si>
  <si>
    <t>ClO- + O3 ==&gt; O2 + ClO2-</t>
    <phoneticPr fontId="0" type="noConversion"/>
  </si>
  <si>
    <t>benzoate</t>
    <phoneticPr fontId="0" type="noConversion"/>
  </si>
  <si>
    <t>nitrobenzene</t>
    <phoneticPr fontId="0" type="noConversion"/>
  </si>
  <si>
    <t>O(3P) + O2 ==&gt; O3</t>
    <phoneticPr fontId="1" type="noConversion"/>
  </si>
  <si>
    <t>ΦO3</t>
    <phoneticPr fontId="23" type="noConversion"/>
  </si>
  <si>
    <r>
      <t>#</t>
    </r>
    <r>
      <rPr>
        <sz val="10"/>
        <rFont val="Arial"/>
        <family val="2"/>
      </rPr>
      <t>Molar absorption coefficients</t>
    </r>
    <phoneticPr fontId="19" type="noConversion"/>
  </si>
  <si>
    <t>#Quantum yields</t>
    <phoneticPr fontId="19" type="noConversion"/>
  </si>
  <si>
    <t>#UV fluence rate</t>
    <phoneticPr fontId="19" type="noConversion"/>
  </si>
  <si>
    <r>
      <t>#</t>
    </r>
    <r>
      <rPr>
        <sz val="10"/>
        <rFont val="Arial"/>
        <family val="2"/>
      </rPr>
      <t>Molar photon energy</t>
    </r>
    <phoneticPr fontId="19" type="noConversion"/>
  </si>
  <si>
    <t># Photolysis of chlorine species and ozone</t>
    <phoneticPr fontId="19" type="noConversion"/>
  </si>
  <si>
    <t># Reactions of oxygen atoms (O(1D) and O(3P))</t>
    <phoneticPr fontId="19" type="noConversion"/>
  </si>
  <si>
    <t># Reactions of ozone</t>
    <phoneticPr fontId="19" type="noConversion"/>
  </si>
  <si>
    <t># Reactions of OH and Cl with chlorine species and ClO formation</t>
    <phoneticPr fontId="19" type="noConversion"/>
  </si>
  <si>
    <t># Reactions of OH with Cl-</t>
    <phoneticPr fontId="19" type="noConversion"/>
  </si>
  <si>
    <t># Reactions of Cl2-</t>
    <phoneticPr fontId="19" type="noConversion"/>
  </si>
  <si>
    <t># Reactions of chlorine species with H2O2 and peroxyl radicals (HO2 and O2-)</t>
    <phoneticPr fontId="19" type="noConversion"/>
  </si>
  <si>
    <t># Reactions of ClO and formation of ClO3-</t>
    <phoneticPr fontId="19" type="noConversion"/>
  </si>
  <si>
    <t># Reactions of reactive species with probe compounds</t>
    <phoneticPr fontId="19" type="noConversion"/>
  </si>
  <si>
    <t># Reactions of OH and Cl with tert-butanol</t>
    <phoneticPr fontId="19" type="noConversion"/>
  </si>
  <si>
    <t># Equilibrium reactions of chlorine species, OH, HO2, H2O2, and probe compounds</t>
    <phoneticPr fontId="19" type="noConversion"/>
  </si>
  <si>
    <t># This example is taken from Lee, W., Lee, Y., Allard, S., Ra, J., Han, S., &amp; Lee, Y. (2020). Environmental Science &amp; Technology, 54(18), 11546-11555.</t>
    <phoneticPr fontId="19" type="noConversion"/>
  </si>
  <si>
    <t># UV/chlorine system</t>
    <phoneticPr fontId="1" type="noConversion"/>
  </si>
  <si>
    <t>C:\Kintecus</t>
  </si>
  <si>
    <t xml:space="preserve">Cl- </t>
  </si>
  <si>
    <t xml:space="preserve">Cl2- </t>
  </si>
  <si>
    <t xml:space="preserve">O2- </t>
  </si>
  <si>
    <t xml:space="preserve">O3 </t>
  </si>
  <si>
    <t xml:space="preserve">CH2O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</si>
</sst>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E+00"/>
    <numFmt numFmtId="165" formatCode="0.0_);[Red]\(0.0\)"/>
    <numFmt numFmtId="166" formatCode="0.00.E+00"/>
    <numFmt numFmtId="167" formatCode="0.0.E+00"/>
  </numFmts>
  <fonts count="30">
    <font>
      <sz val="10"/>
      <name val="Arial"/>
    </font>
    <font>
      <sz val="10"/>
      <name val="Arial"/>
      <family val="2"/>
    </font>
    <font>
      <b/>
      <sz val="10"/>
      <name val="Arial"/>
      <family val="2"/>
    </font>
    <font>
      <b/>
      <sz val="18"/>
      <name val="Arial"/>
      <family val="2"/>
    </font>
    <font>
      <b/>
      <sz val="8"/>
      <name val="Arial"/>
      <family val="2"/>
    </font>
    <font>
      <b/>
      <sz val="9"/>
      <name val="Arial"/>
      <family val="2"/>
    </font>
    <font>
      <b/>
      <sz val="12"/>
      <name val="Arial"/>
      <family val="2"/>
    </font>
    <font>
      <b/>
      <sz val="14"/>
      <name val="Arial"/>
      <family val="2"/>
    </font>
    <font>
      <sz val="9"/>
      <name val="Arial"/>
      <family val="2"/>
    </font>
    <font>
      <b/>
      <sz val="11"/>
      <name val="Arial"/>
      <family val="2"/>
    </font>
    <font>
      <b/>
      <sz val="16"/>
      <name val="Arial"/>
      <family val="2"/>
    </font>
    <font>
      <b/>
      <sz val="9"/>
      <color indexed="22"/>
      <name val="Arial"/>
      <family val="2"/>
    </font>
    <font>
      <strike/>
      <sz val="9"/>
      <color indexed="22"/>
      <name val="Arial"/>
      <family val="2"/>
    </font>
    <font>
      <sz val="8"/>
      <color indexed="81"/>
      <name val="Tahoma"/>
      <family val="2"/>
    </font>
    <font>
      <b/>
      <sz val="8"/>
      <color indexed="81"/>
      <name val="Tahoma"/>
      <family val="2"/>
    </font>
    <font>
      <sz val="8"/>
      <name val="Arial"/>
      <family val="2"/>
    </font>
    <font>
      <b/>
      <u/>
      <sz val="10"/>
      <name val="Arial"/>
      <family val="2"/>
    </font>
    <font>
      <b/>
      <sz val="20"/>
      <name val="Arial"/>
      <family val="2"/>
    </font>
    <font>
      <sz val="14"/>
      <name val="Tahoma"/>
      <family val="2"/>
    </font>
    <font>
      <sz val="8"/>
      <name val="돋움"/>
      <family val="3"/>
      <charset val="129"/>
    </font>
    <font>
      <sz val="10"/>
      <color rgb="FFFF0000"/>
      <name val="Arial"/>
      <family val="2"/>
    </font>
    <font>
      <sz val="10"/>
      <color rgb="FF000000"/>
      <name val="Arial"/>
      <family val="2"/>
    </font>
    <font>
      <sz val="8"/>
      <color rgb="FF000000"/>
      <name val="Tahoma"/>
      <family val="2"/>
    </font>
    <font>
      <sz val="8"/>
      <name val="Calibri"/>
      <family val="2"/>
      <charset val="129"/>
      <scheme val="minor"/>
    </font>
    <font>
      <sz val="10"/>
      <color theme="1"/>
      <name val="Calibri"/>
      <family val="2"/>
      <charset val="129"/>
      <scheme val="minor"/>
    </font>
    <font>
      <sz val="9"/>
      <color indexed="81"/>
      <name val="Tahoma"/>
      <family val="2"/>
    </font>
    <font>
      <b/>
      <sz val="9"/>
      <color indexed="81"/>
      <name val="Tahoma"/>
      <family val="2"/>
    </font>
    <font>
      <b/>
      <i/>
      <sz val="10"/>
      <name val="Arial"/>
      <family val="2"/>
    </font>
    <font>
      <sz val="10"/>
      <name val="Times New Roman"/>
      <family val="1"/>
    </font>
    <font>
      <b/>
      <sz val="8"/>
      <color rgb="FF000000"/>
      <name val="Tahoma"/>
      <family val="2"/>
    </font>
  </fonts>
  <fills count="15">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11"/>
        <bgColor indexed="64"/>
      </patternFill>
    </fill>
    <fill>
      <patternFill patternType="solid">
        <fgColor indexed="9"/>
        <bgColor indexed="64"/>
      </patternFill>
    </fill>
    <fill>
      <patternFill patternType="solid">
        <fgColor indexed="50"/>
        <bgColor indexed="64"/>
      </patternFill>
    </fill>
    <fill>
      <patternFill patternType="solid">
        <fgColor indexed="44"/>
        <bgColor indexed="64"/>
      </patternFill>
    </fill>
    <fill>
      <patternFill patternType="solid">
        <fgColor indexed="47"/>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50"/>
        <bgColor indexed="64"/>
      </patternFill>
    </fill>
    <fill>
      <patternFill patternType="solid">
        <fgColor theme="5" tint="0.39997558519241921"/>
        <bgColor indexed="64"/>
      </patternFill>
    </fill>
    <fill>
      <patternFill patternType="solid">
        <fgColor theme="4" tint="0.79998168889431442"/>
        <bgColor indexed="64"/>
      </patternFill>
    </fill>
  </fills>
  <borders count="31">
    <border>
      <left/>
      <right/>
      <top/>
      <bottom/>
      <diagonal/>
    </border>
    <border>
      <left style="thin">
        <color auto="1"/>
      </left>
      <right/>
      <top/>
      <bottom/>
      <diagonal/>
    </border>
    <border>
      <left style="thin">
        <color auto="1"/>
      </left>
      <right style="thin">
        <color auto="1"/>
      </right>
      <top/>
      <bottom/>
      <diagonal/>
    </border>
    <border>
      <left style="medium">
        <color auto="1"/>
      </left>
      <right/>
      <top style="medium">
        <color auto="1"/>
      </top>
      <bottom/>
      <diagonal/>
    </border>
    <border>
      <left style="thin">
        <color auto="1"/>
      </left>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top/>
      <bottom style="medium">
        <color auto="1"/>
      </bottom>
      <diagonal/>
    </border>
    <border>
      <left style="thin">
        <color auto="1"/>
      </left>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top/>
      <bottom/>
      <diagonal/>
    </border>
    <border>
      <left style="thin">
        <color auto="1"/>
      </left>
      <right style="medium">
        <color auto="1"/>
      </right>
      <top/>
      <bottom/>
      <diagonal/>
    </border>
    <border>
      <left style="medium">
        <color auto="1"/>
      </left>
      <right/>
      <top style="medium">
        <color auto="1"/>
      </top>
      <bottom style="medium">
        <color auto="1"/>
      </bottom>
      <diagonal/>
    </border>
    <border>
      <left style="thin">
        <color auto="1"/>
      </left>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top style="thin">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thin">
        <color auto="1"/>
      </top>
      <bottom style="thin">
        <color auto="1"/>
      </bottom>
      <diagonal/>
    </border>
    <border>
      <left style="medium">
        <color auto="1"/>
      </left>
      <right style="medium">
        <color auto="1"/>
      </right>
      <top/>
      <bottom/>
      <diagonal/>
    </border>
    <border>
      <left/>
      <right/>
      <top/>
      <bottom style="medium">
        <color auto="1"/>
      </bottom>
      <diagonal/>
    </border>
    <border>
      <left/>
      <right/>
      <top style="medium">
        <color auto="1"/>
      </top>
      <bottom/>
      <diagonal/>
    </border>
    <border>
      <left/>
      <right style="medium">
        <color auto="1"/>
      </right>
      <top style="medium">
        <color auto="1"/>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41">
    <xf numFmtId="0" fontId="0" fillId="0" borderId="0" xfId="0"/>
    <xf numFmtId="0" fontId="0" fillId="0" borderId="1" xfId="0" applyBorder="1"/>
    <xf numFmtId="11" fontId="0" fillId="0" borderId="2" xfId="0" applyNumberFormat="1" applyBorder="1"/>
    <xf numFmtId="0" fontId="0" fillId="0" borderId="2" xfId="0" applyBorder="1"/>
    <xf numFmtId="0" fontId="2" fillId="0" borderId="0" xfId="0" applyFont="1"/>
    <xf numFmtId="0" fontId="2" fillId="0" borderId="0" xfId="0" applyFont="1" applyFill="1" applyBorder="1"/>
    <xf numFmtId="0" fontId="2" fillId="0" borderId="0" xfId="0" applyFont="1" applyFill="1"/>
    <xf numFmtId="0" fontId="2" fillId="0" borderId="1" xfId="0" applyFont="1" applyFill="1" applyBorder="1"/>
    <xf numFmtId="0" fontId="2" fillId="2" borderId="3" xfId="0" applyFont="1" applyFill="1" applyBorder="1"/>
    <xf numFmtId="0" fontId="2" fillId="2" borderId="1" xfId="0" applyFont="1" applyFill="1" applyBorder="1"/>
    <xf numFmtId="0" fontId="2" fillId="2" borderId="4" xfId="0" applyFont="1" applyFill="1" applyBorder="1"/>
    <xf numFmtId="0" fontId="2" fillId="2" borderId="5" xfId="0" applyFont="1" applyFill="1" applyBorder="1"/>
    <xf numFmtId="0" fontId="2" fillId="2" borderId="6" xfId="0" applyFont="1" applyFill="1" applyBorder="1"/>
    <xf numFmtId="0" fontId="2" fillId="2" borderId="7" xfId="0" applyFont="1" applyFill="1" applyBorder="1"/>
    <xf numFmtId="0" fontId="2" fillId="2" borderId="8" xfId="0" applyFont="1" applyFill="1" applyBorder="1"/>
    <xf numFmtId="0" fontId="2" fillId="2" borderId="9" xfId="0" applyFont="1" applyFill="1" applyBorder="1"/>
    <xf numFmtId="0" fontId="2" fillId="2" borderId="10" xfId="0" applyFont="1" applyFill="1" applyBorder="1"/>
    <xf numFmtId="0" fontId="2" fillId="2" borderId="11" xfId="0" applyFont="1" applyFill="1" applyBorder="1"/>
    <xf numFmtId="0" fontId="2" fillId="2" borderId="12" xfId="0" applyFont="1" applyFill="1" applyBorder="1"/>
    <xf numFmtId="0" fontId="4" fillId="2" borderId="13" xfId="0" applyFont="1" applyFill="1" applyBorder="1"/>
    <xf numFmtId="0" fontId="4" fillId="2" borderId="14" xfId="0" applyFont="1" applyFill="1" applyBorder="1"/>
    <xf numFmtId="0" fontId="2" fillId="3" borderId="1" xfId="0" applyFont="1" applyFill="1" applyBorder="1"/>
    <xf numFmtId="0" fontId="7" fillId="3" borderId="1" xfId="0" applyFont="1" applyFill="1" applyBorder="1"/>
    <xf numFmtId="0" fontId="2" fillId="3" borderId="2" xfId="0" applyFont="1" applyFill="1" applyBorder="1"/>
    <xf numFmtId="0" fontId="2" fillId="3" borderId="13" xfId="0" applyFont="1" applyFill="1" applyBorder="1"/>
    <xf numFmtId="0" fontId="3" fillId="3" borderId="14" xfId="0" applyFont="1" applyFill="1" applyBorder="1"/>
    <xf numFmtId="0" fontId="2" fillId="3" borderId="14" xfId="0" applyFont="1" applyFill="1" applyBorder="1"/>
    <xf numFmtId="0" fontId="2" fillId="3" borderId="15" xfId="0" applyFont="1" applyFill="1" applyBorder="1"/>
    <xf numFmtId="0" fontId="6" fillId="2" borderId="16" xfId="0" applyFont="1" applyFill="1" applyBorder="1"/>
    <xf numFmtId="0" fontId="9" fillId="2" borderId="16" xfId="0" applyFont="1" applyFill="1" applyBorder="1"/>
    <xf numFmtId="49" fontId="8" fillId="0" borderId="17" xfId="0" applyNumberFormat="1" applyFont="1" applyBorder="1"/>
    <xf numFmtId="0" fontId="10" fillId="3" borderId="18" xfId="0" applyFont="1" applyFill="1" applyBorder="1" applyAlignment="1">
      <alignment horizontal="center"/>
    </xf>
    <xf numFmtId="11" fontId="0" fillId="4" borderId="0" xfId="0" applyNumberFormat="1" applyFill="1"/>
    <xf numFmtId="11" fontId="0" fillId="4" borderId="1" xfId="0" applyNumberFormat="1" applyFill="1" applyBorder="1"/>
    <xf numFmtId="0" fontId="0" fillId="4" borderId="1" xfId="0" applyFill="1" applyBorder="1"/>
    <xf numFmtId="0" fontId="0" fillId="4" borderId="0" xfId="0" applyFill="1"/>
    <xf numFmtId="0" fontId="5" fillId="2" borderId="7" xfId="0" applyFont="1" applyFill="1" applyBorder="1"/>
    <xf numFmtId="0" fontId="4" fillId="2" borderId="8" xfId="0" applyFont="1" applyFill="1" applyBorder="1"/>
    <xf numFmtId="0" fontId="0" fillId="0" borderId="0" xfId="0" applyBorder="1"/>
    <xf numFmtId="0" fontId="11" fillId="5" borderId="15" xfId="0" applyFont="1" applyFill="1" applyBorder="1"/>
    <xf numFmtId="0" fontId="12" fillId="5" borderId="1" xfId="0" applyFont="1" applyFill="1" applyBorder="1"/>
    <xf numFmtId="0" fontId="12" fillId="5" borderId="14" xfId="0" applyFont="1" applyFill="1" applyBorder="1"/>
    <xf numFmtId="0" fontId="12" fillId="5" borderId="15" xfId="0" applyFont="1" applyFill="1" applyBorder="1"/>
    <xf numFmtId="0" fontId="5" fillId="0" borderId="17" xfId="0" applyFont="1" applyBorder="1" applyAlignment="1">
      <alignment wrapText="1"/>
    </xf>
    <xf numFmtId="0" fontId="2" fillId="2" borderId="19" xfId="0" applyFont="1" applyFill="1" applyBorder="1"/>
    <xf numFmtId="0" fontId="2" fillId="2" borderId="20" xfId="0" applyFont="1" applyFill="1" applyBorder="1"/>
    <xf numFmtId="0" fontId="15" fillId="0" borderId="0" xfId="0" applyFont="1" applyAlignment="1">
      <alignment wrapText="1"/>
    </xf>
    <xf numFmtId="11" fontId="0" fillId="0" borderId="0" xfId="0" applyNumberFormat="1"/>
    <xf numFmtId="0" fontId="2" fillId="0" borderId="0" xfId="0" applyFont="1" applyBorder="1"/>
    <xf numFmtId="0" fontId="7" fillId="6" borderId="21" xfId="0" applyFont="1" applyFill="1" applyBorder="1" applyAlignment="1">
      <alignment horizontal="center"/>
    </xf>
    <xf numFmtId="0" fontId="0" fillId="2" borderId="16" xfId="0" applyFill="1" applyBorder="1" applyAlignment="1"/>
    <xf numFmtId="0" fontId="2" fillId="2" borderId="22" xfId="0" applyFont="1" applyFill="1" applyBorder="1" applyAlignment="1">
      <alignment wrapText="1"/>
    </xf>
    <xf numFmtId="0" fontId="2" fillId="2" borderId="23" xfId="0" applyFont="1" applyFill="1" applyBorder="1" applyAlignment="1">
      <alignment wrapText="1"/>
    </xf>
    <xf numFmtId="0" fontId="2" fillId="2" borderId="23" xfId="0" applyFont="1" applyFill="1" applyBorder="1" applyAlignment="1"/>
    <xf numFmtId="0" fontId="2" fillId="7" borderId="21" xfId="0" applyFont="1" applyFill="1" applyBorder="1" applyAlignment="1">
      <alignment wrapText="1"/>
    </xf>
    <xf numFmtId="0" fontId="16" fillId="0" borderId="0" xfId="0" applyFont="1"/>
    <xf numFmtId="11" fontId="2" fillId="0" borderId="24" xfId="0" applyNumberFormat="1" applyFont="1" applyBorder="1"/>
    <xf numFmtId="0" fontId="2" fillId="3" borderId="3" xfId="0" applyFont="1" applyFill="1" applyBorder="1"/>
    <xf numFmtId="0" fontId="17" fillId="3" borderId="4" xfId="0" applyFont="1" applyFill="1" applyBorder="1"/>
    <xf numFmtId="0" fontId="2" fillId="3" borderId="4" xfId="0" applyFont="1" applyFill="1" applyBorder="1"/>
    <xf numFmtId="0" fontId="2" fillId="3" borderId="6" xfId="0" applyFont="1" applyFill="1" applyBorder="1"/>
    <xf numFmtId="0" fontId="2" fillId="8" borderId="12" xfId="0" applyFont="1" applyFill="1" applyBorder="1"/>
    <xf numFmtId="0" fontId="2" fillId="8" borderId="10" xfId="0" applyFont="1" applyFill="1" applyBorder="1"/>
    <xf numFmtId="0" fontId="8" fillId="0" borderId="1" xfId="0" applyFont="1" applyBorder="1"/>
    <xf numFmtId="0" fontId="8" fillId="0" borderId="0" xfId="0" applyFont="1"/>
    <xf numFmtId="0" fontId="2" fillId="0" borderId="0" xfId="0" applyFont="1" applyProtection="1">
      <protection hidden="1"/>
    </xf>
    <xf numFmtId="0" fontId="2" fillId="2" borderId="21" xfId="0" applyFont="1" applyFill="1" applyBorder="1" applyAlignment="1">
      <alignment wrapText="1"/>
    </xf>
    <xf numFmtId="0" fontId="0" fillId="4" borderId="21" xfId="0" applyFill="1" applyBorder="1"/>
    <xf numFmtId="0" fontId="18" fillId="0" borderId="0" xfId="0" applyFont="1"/>
    <xf numFmtId="0" fontId="1" fillId="0" borderId="1" xfId="0" applyFont="1" applyBorder="1"/>
    <xf numFmtId="0" fontId="1" fillId="0" borderId="0" xfId="0" applyFont="1"/>
    <xf numFmtId="11" fontId="1" fillId="0" borderId="2" xfId="0" applyNumberFormat="1" applyFont="1" applyBorder="1"/>
    <xf numFmtId="0" fontId="0" fillId="0" borderId="0" xfId="0" applyAlignment="1">
      <alignment vertical="center"/>
    </xf>
    <xf numFmtId="0" fontId="0" fillId="0" borderId="0" xfId="0" applyBorder="1" applyAlignment="1">
      <alignment vertical="center"/>
    </xf>
    <xf numFmtId="166" fontId="0" fillId="0" borderId="0" xfId="0" applyNumberFormat="1" applyBorder="1" applyAlignment="1">
      <alignment vertical="center"/>
    </xf>
    <xf numFmtId="11" fontId="0" fillId="0" borderId="0" xfId="0" applyNumberFormat="1" applyBorder="1" applyAlignment="1">
      <alignment vertical="center"/>
    </xf>
    <xf numFmtId="0" fontId="1" fillId="0" borderId="0" xfId="0" applyFont="1" applyAlignment="1">
      <alignment vertical="center"/>
    </xf>
    <xf numFmtId="11" fontId="1" fillId="0" borderId="0" xfId="0" applyNumberFormat="1" applyFont="1" applyFill="1" applyBorder="1" applyAlignment="1"/>
    <xf numFmtId="0" fontId="1" fillId="0" borderId="0" xfId="0" applyFont="1" applyFill="1" applyBorder="1" applyAlignment="1"/>
    <xf numFmtId="0" fontId="1" fillId="0" borderId="0" xfId="0" applyFont="1" applyFill="1" applyBorder="1"/>
    <xf numFmtId="0" fontId="1" fillId="0" borderId="0" xfId="0" applyFont="1" applyFill="1" applyBorder="1" applyAlignment="1">
      <alignment horizontal="right"/>
    </xf>
    <xf numFmtId="0" fontId="1" fillId="0" borderId="0" xfId="0" quotePrefix="1" applyFont="1" applyFill="1" applyBorder="1" applyAlignment="1"/>
    <xf numFmtId="0" fontId="1" fillId="0" borderId="0" xfId="0" applyFont="1" applyBorder="1" applyAlignment="1">
      <alignment vertical="center"/>
    </xf>
    <xf numFmtId="0" fontId="1" fillId="0" borderId="0" xfId="0" applyFont="1" applyBorder="1"/>
    <xf numFmtId="11" fontId="0" fillId="10" borderId="2" xfId="0" applyNumberFormat="1" applyFill="1" applyBorder="1"/>
    <xf numFmtId="11" fontId="1" fillId="10" borderId="2" xfId="0" applyNumberFormat="1" applyFont="1" applyFill="1" applyBorder="1"/>
    <xf numFmtId="11" fontId="0" fillId="10" borderId="2" xfId="0" applyNumberFormat="1" applyFill="1" applyBorder="1" applyAlignment="1">
      <alignment horizontal="right"/>
    </xf>
    <xf numFmtId="11" fontId="1" fillId="9" borderId="2" xfId="0" applyNumberFormat="1" applyFont="1" applyFill="1" applyBorder="1"/>
    <xf numFmtId="11" fontId="0" fillId="0" borderId="1" xfId="0" applyNumberFormat="1" applyBorder="1"/>
    <xf numFmtId="11" fontId="1" fillId="0" borderId="1" xfId="0" applyNumberFormat="1" applyFont="1" applyBorder="1"/>
    <xf numFmtId="0" fontId="27" fillId="0" borderId="0" xfId="0" applyFont="1" applyBorder="1"/>
    <xf numFmtId="0" fontId="1" fillId="0" borderId="0" xfId="0" applyFont="1" applyBorder="1" applyAlignment="1"/>
    <xf numFmtId="0" fontId="0" fillId="0" borderId="0" xfId="0" applyFill="1"/>
    <xf numFmtId="0" fontId="1" fillId="10" borderId="0" xfId="0" applyFont="1" applyFill="1" applyBorder="1" applyAlignment="1">
      <alignment vertical="center"/>
    </xf>
    <xf numFmtId="0" fontId="0" fillId="10" borderId="0" xfId="0" applyFill="1" applyBorder="1" applyAlignment="1">
      <alignment vertical="center"/>
    </xf>
    <xf numFmtId="2" fontId="1" fillId="10" borderId="0" xfId="0" applyNumberFormat="1" applyFont="1" applyFill="1" applyBorder="1" applyAlignment="1">
      <alignment vertical="center"/>
    </xf>
    <xf numFmtId="165" fontId="0" fillId="0" borderId="0" xfId="0" applyNumberFormat="1" applyAlignment="1">
      <alignment vertical="center"/>
    </xf>
    <xf numFmtId="167" fontId="0" fillId="0" borderId="0" xfId="0" applyNumberFormat="1" applyAlignment="1">
      <alignment vertical="center"/>
    </xf>
    <xf numFmtId="0" fontId="1" fillId="0" borderId="0" xfId="0" applyFont="1" applyFill="1"/>
    <xf numFmtId="11" fontId="0" fillId="12" borderId="2" xfId="0" applyNumberFormat="1" applyFill="1" applyBorder="1"/>
    <xf numFmtId="11" fontId="0" fillId="13" borderId="2" xfId="0" applyNumberFormat="1" applyFill="1" applyBorder="1"/>
    <xf numFmtId="11" fontId="1" fillId="0" borderId="0" xfId="0" applyNumberFormat="1" applyFont="1" applyFill="1"/>
    <xf numFmtId="11" fontId="1" fillId="14" borderId="0" xfId="0" applyNumberFormat="1" applyFont="1" applyFill="1" applyBorder="1" applyAlignment="1"/>
    <xf numFmtId="0" fontId="1" fillId="14" borderId="0" xfId="0" applyFont="1" applyFill="1" applyBorder="1" applyAlignment="1"/>
    <xf numFmtId="0" fontId="1" fillId="14" borderId="0" xfId="0" applyFont="1" applyFill="1" applyBorder="1"/>
    <xf numFmtId="0" fontId="28" fillId="14" borderId="0" xfId="0" applyFont="1" applyFill="1" applyBorder="1" applyAlignment="1">
      <alignment vertical="center" wrapText="1"/>
    </xf>
    <xf numFmtId="0" fontId="0" fillId="14" borderId="0" xfId="0" applyFill="1" applyBorder="1"/>
    <xf numFmtId="0" fontId="1" fillId="0" borderId="0" xfId="0" applyFont="1" applyFill="1" applyBorder="1" applyAlignment="1">
      <alignment vertical="center"/>
    </xf>
    <xf numFmtId="11" fontId="0" fillId="10" borderId="0" xfId="0" applyNumberFormat="1" applyFill="1" applyBorder="1" applyAlignment="1">
      <alignment vertical="center"/>
    </xf>
    <xf numFmtId="0" fontId="24" fillId="0" borderId="0" xfId="0" applyFont="1" applyBorder="1" applyAlignment="1">
      <alignment vertical="center"/>
    </xf>
    <xf numFmtId="166" fontId="0" fillId="11" borderId="0" xfId="0" applyNumberFormat="1" applyFill="1" applyAlignment="1">
      <alignment vertical="center"/>
    </xf>
    <xf numFmtId="11" fontId="1" fillId="0" borderId="0" xfId="0" applyNumberFormat="1" applyFont="1" applyFill="1" applyBorder="1"/>
    <xf numFmtId="0" fontId="2" fillId="2" borderId="0" xfId="0" applyFont="1" applyFill="1" applyBorder="1"/>
    <xf numFmtId="0" fontId="2" fillId="2" borderId="0" xfId="0" applyFont="1" applyFill="1" applyBorder="1" applyAlignment="1"/>
    <xf numFmtId="11" fontId="1" fillId="0" borderId="0" xfId="0" applyNumberFormat="1" applyFont="1" applyBorder="1" applyAlignment="1">
      <alignment vertical="center"/>
    </xf>
    <xf numFmtId="167" fontId="1" fillId="0" borderId="0" xfId="0" applyNumberFormat="1" applyFont="1" applyBorder="1" applyAlignment="1">
      <alignment vertical="center"/>
    </xf>
    <xf numFmtId="11" fontId="1" fillId="0" borderId="0" xfId="0" applyNumberFormat="1" applyFont="1" applyBorder="1"/>
    <xf numFmtId="0" fontId="7" fillId="3" borderId="29" xfId="0" applyFont="1" applyFill="1" applyBorder="1"/>
    <xf numFmtId="0" fontId="2" fillId="3" borderId="29" xfId="0" applyFont="1" applyFill="1" applyBorder="1" applyAlignment="1"/>
    <xf numFmtId="0" fontId="2" fillId="3" borderId="29" xfId="0" applyFont="1" applyFill="1" applyBorder="1"/>
    <xf numFmtId="0" fontId="2" fillId="3" borderId="30" xfId="0" applyFont="1" applyFill="1" applyBorder="1"/>
    <xf numFmtId="0" fontId="2" fillId="2" borderId="25" xfId="0" applyFont="1" applyFill="1" applyBorder="1"/>
    <xf numFmtId="0" fontId="2" fillId="2" borderId="25" xfId="0" applyFont="1" applyFill="1" applyBorder="1" applyAlignment="1"/>
    <xf numFmtId="0" fontId="2" fillId="2" borderId="26" xfId="0" applyFont="1" applyFill="1" applyBorder="1"/>
    <xf numFmtId="0" fontId="2" fillId="2" borderId="27" xfId="0" applyFont="1" applyFill="1" applyBorder="1"/>
    <xf numFmtId="0" fontId="2" fillId="2" borderId="24" xfId="0" applyFont="1" applyFill="1" applyBorder="1"/>
    <xf numFmtId="0" fontId="2" fillId="2" borderId="24" xfId="0" applyFont="1" applyFill="1" applyBorder="1" applyAlignment="1"/>
    <xf numFmtId="0" fontId="2" fillId="2" borderId="28" xfId="0" applyFont="1" applyFill="1" applyBorder="1"/>
    <xf numFmtId="0" fontId="1" fillId="14" borderId="3" xfId="0" applyFont="1" applyFill="1" applyBorder="1"/>
    <xf numFmtId="0" fontId="2" fillId="14" borderId="25" xfId="0" applyFont="1" applyFill="1" applyBorder="1"/>
    <xf numFmtId="0" fontId="2" fillId="14" borderId="25" xfId="0" applyFont="1" applyFill="1" applyBorder="1" applyAlignment="1"/>
    <xf numFmtId="0" fontId="2" fillId="14" borderId="26" xfId="0" applyFont="1" applyFill="1" applyBorder="1"/>
    <xf numFmtId="11" fontId="1" fillId="14" borderId="11" xfId="0" applyNumberFormat="1" applyFont="1" applyFill="1" applyBorder="1" applyAlignment="1"/>
    <xf numFmtId="0" fontId="1" fillId="14" borderId="27" xfId="0" applyFont="1" applyFill="1" applyBorder="1"/>
    <xf numFmtId="11" fontId="1" fillId="14" borderId="11" xfId="0" applyNumberFormat="1" applyFont="1" applyFill="1" applyBorder="1"/>
    <xf numFmtId="164" fontId="1" fillId="14" borderId="27" xfId="0" applyNumberFormat="1" applyFont="1" applyFill="1" applyBorder="1"/>
    <xf numFmtId="11" fontId="1" fillId="14" borderId="7" xfId="0" applyNumberFormat="1" applyFont="1" applyFill="1" applyBorder="1" applyAlignment="1"/>
    <xf numFmtId="0" fontId="1" fillId="14" borderId="24" xfId="0" applyFont="1" applyFill="1" applyBorder="1" applyAlignment="1"/>
    <xf numFmtId="11" fontId="1" fillId="14" borderId="24" xfId="0" applyNumberFormat="1" applyFont="1" applyFill="1" applyBorder="1" applyAlignment="1"/>
    <xf numFmtId="0" fontId="0" fillId="14" borderId="24" xfId="0" applyFill="1" applyBorder="1"/>
    <xf numFmtId="0" fontId="1" fillId="14" borderId="28" xfId="0" applyFont="1" applyFill="1" applyBorder="1"/>
  </cellXfs>
  <cellStyles count="1">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haredStrings" Target="sharedStrings.xml"/><Relationship Id="rId3" Type="http://schemas.openxmlformats.org/officeDocument/2006/relationships/worksheet" Target="worksheets/sheet2.xml"/><Relationship Id="rId7" Type="http://schemas.openxmlformats.org/officeDocument/2006/relationships/worksheet" Target="worksheets/sheet6.xml"/><Relationship Id="rId12" Type="http://schemas.openxmlformats.org/officeDocument/2006/relationships/styles" Target="styles.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theme" Target="theme/theme1.xml"/><Relationship Id="rId5" Type="http://schemas.openxmlformats.org/officeDocument/2006/relationships/worksheet" Target="worksheets/sheet4.xml"/><Relationship Id="rId15" Type="http://schemas.microsoft.com/office/2006/relationships/vbaProject" Target="vbaProject.bin"/><Relationship Id="rId10" Type="http://schemas.openxmlformats.org/officeDocument/2006/relationships/worksheet" Target="worksheets/sheet9.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Kintecus_Plot</a:t>
            </a:r>
          </a:p>
        </c:rich>
      </c:tx>
      <c:overlay val="0"/>
    </c:title>
    <c:autoTitleDeleted val="0"/>
    <c:plotArea>
      <c:layout/>
      <c:scatterChart>
        <c:scatterStyle val="lineMarker"/>
        <c:varyColors val="0"/>
        <c:ser>
          <c:idx val="0"/>
          <c:order val="0"/>
          <c:tx>
            <c:strRef>
              <c:f>CONC!$B$1</c:f>
              <c:strCache>
                <c:ptCount val="1"/>
                <c:pt idx="0">
                  <c:v>HOCl </c:v>
                </c:pt>
              </c:strCache>
            </c:strRef>
          </c:tx>
          <c:xVal>
            <c:numRef>
              <c:f>CONC!$A$2:$A$64</c:f>
              <c:numCache>
                <c:formatCode>0.00E+00</c:formatCode>
                <c:ptCount val="63"/>
                <c:pt idx="0">
                  <c:v>0</c:v>
                </c:pt>
                <c:pt idx="1">
                  <c:v>1.2623599999999999</c:v>
                </c:pt>
                <c:pt idx="2">
                  <c:v>2.8906100000000001</c:v>
                </c:pt>
                <c:pt idx="3">
                  <c:v>6.7801200000000001</c:v>
                </c:pt>
                <c:pt idx="4">
                  <c:v>15.714499999999999</c:v>
                </c:pt>
                <c:pt idx="5">
                  <c:v>24.649000000000001</c:v>
                </c:pt>
                <c:pt idx="6">
                  <c:v>33.583399999999997</c:v>
                </c:pt>
                <c:pt idx="7">
                  <c:v>42.517800000000001</c:v>
                </c:pt>
                <c:pt idx="8">
                  <c:v>51.452300000000001</c:v>
                </c:pt>
                <c:pt idx="9">
                  <c:v>60.386699999999998</c:v>
                </c:pt>
                <c:pt idx="10">
                  <c:v>69.321100000000001</c:v>
                </c:pt>
                <c:pt idx="11">
                  <c:v>78.255499999999998</c:v>
                </c:pt>
                <c:pt idx="12">
                  <c:v>87.19</c:v>
                </c:pt>
                <c:pt idx="13">
                  <c:v>96.124399999999994</c:v>
                </c:pt>
                <c:pt idx="14">
                  <c:v>105.059</c:v>
                </c:pt>
                <c:pt idx="15">
                  <c:v>113.99299999999999</c:v>
                </c:pt>
                <c:pt idx="16">
                  <c:v>122.928</c:v>
                </c:pt>
                <c:pt idx="17">
                  <c:v>131.86199999999999</c:v>
                </c:pt>
                <c:pt idx="18">
                  <c:v>140.797</c:v>
                </c:pt>
                <c:pt idx="19">
                  <c:v>149.73099999999999</c:v>
                </c:pt>
                <c:pt idx="20">
                  <c:v>158.66499999999999</c:v>
                </c:pt>
                <c:pt idx="21">
                  <c:v>167.6</c:v>
                </c:pt>
                <c:pt idx="22">
                  <c:v>176.53399999999999</c:v>
                </c:pt>
                <c:pt idx="23">
                  <c:v>185.46899999999999</c:v>
                </c:pt>
                <c:pt idx="24">
                  <c:v>194.40299999999999</c:v>
                </c:pt>
                <c:pt idx="25">
                  <c:v>203.33699999999999</c:v>
                </c:pt>
                <c:pt idx="26">
                  <c:v>212.27199999999999</c:v>
                </c:pt>
                <c:pt idx="27">
                  <c:v>221.20599999999999</c:v>
                </c:pt>
                <c:pt idx="28">
                  <c:v>230.14099999999999</c:v>
                </c:pt>
                <c:pt idx="29">
                  <c:v>239.07499999999999</c:v>
                </c:pt>
                <c:pt idx="30">
                  <c:v>248.01</c:v>
                </c:pt>
                <c:pt idx="31">
                  <c:v>256.94400000000002</c:v>
                </c:pt>
                <c:pt idx="32">
                  <c:v>265.87799999999999</c:v>
                </c:pt>
                <c:pt idx="33">
                  <c:v>274.81299999999999</c:v>
                </c:pt>
                <c:pt idx="34">
                  <c:v>283.74700000000001</c:v>
                </c:pt>
                <c:pt idx="35">
                  <c:v>292.68200000000002</c:v>
                </c:pt>
                <c:pt idx="36">
                  <c:v>301.61599999999999</c:v>
                </c:pt>
                <c:pt idx="37">
                  <c:v>310.55099999999999</c:v>
                </c:pt>
                <c:pt idx="38">
                  <c:v>319.48500000000001</c:v>
                </c:pt>
                <c:pt idx="39">
                  <c:v>328.41899999999998</c:v>
                </c:pt>
                <c:pt idx="40">
                  <c:v>337.35399999999998</c:v>
                </c:pt>
                <c:pt idx="41">
                  <c:v>346.28800000000001</c:v>
                </c:pt>
                <c:pt idx="42">
                  <c:v>355.22300000000001</c:v>
                </c:pt>
                <c:pt idx="43">
                  <c:v>364.15699999999998</c:v>
                </c:pt>
                <c:pt idx="44">
                  <c:v>373.09199999999998</c:v>
                </c:pt>
                <c:pt idx="45">
                  <c:v>382.02600000000001</c:v>
                </c:pt>
                <c:pt idx="46">
                  <c:v>390.96</c:v>
                </c:pt>
                <c:pt idx="47">
                  <c:v>399.89499999999998</c:v>
                </c:pt>
                <c:pt idx="48">
                  <c:v>408.82900000000001</c:v>
                </c:pt>
                <c:pt idx="49">
                  <c:v>417.76400000000001</c:v>
                </c:pt>
                <c:pt idx="50">
                  <c:v>426.69799999999998</c:v>
                </c:pt>
                <c:pt idx="51">
                  <c:v>435.63299999999998</c:v>
                </c:pt>
                <c:pt idx="52">
                  <c:v>444.56700000000001</c:v>
                </c:pt>
                <c:pt idx="53">
                  <c:v>453.50099999999998</c:v>
                </c:pt>
                <c:pt idx="54">
                  <c:v>462.43599999999998</c:v>
                </c:pt>
                <c:pt idx="55">
                  <c:v>471.37</c:v>
                </c:pt>
                <c:pt idx="56">
                  <c:v>480.30500000000001</c:v>
                </c:pt>
                <c:pt idx="57">
                  <c:v>489.23899999999998</c:v>
                </c:pt>
                <c:pt idx="58">
                  <c:v>498.17399999999998</c:v>
                </c:pt>
                <c:pt idx="59">
                  <c:v>507.108</c:v>
                </c:pt>
                <c:pt idx="60">
                  <c:v>516.04200000000003</c:v>
                </c:pt>
                <c:pt idx="61">
                  <c:v>524.97699999999998</c:v>
                </c:pt>
                <c:pt idx="62">
                  <c:v>545</c:v>
                </c:pt>
              </c:numCache>
            </c:numRef>
          </c:xVal>
          <c:yVal>
            <c:numRef>
              <c:f>CONC!$B$2:$B$64</c:f>
              <c:numCache>
                <c:formatCode>0.00E+00</c:formatCode>
                <c:ptCount val="63"/>
                <c:pt idx="0">
                  <c:v>0</c:v>
                </c:pt>
                <c:pt idx="1">
                  <c:v>1.3551599999999999E-4</c:v>
                </c:pt>
                <c:pt idx="2">
                  <c:v>1.35279E-4</c:v>
                </c:pt>
                <c:pt idx="3">
                  <c:v>1.3471199999999999E-4</c:v>
                </c:pt>
                <c:pt idx="4">
                  <c:v>1.3341399999999999E-4</c:v>
                </c:pt>
                <c:pt idx="5">
                  <c:v>1.32123E-4</c:v>
                </c:pt>
                <c:pt idx="6">
                  <c:v>1.30839E-4</c:v>
                </c:pt>
                <c:pt idx="7">
                  <c:v>1.2956299999999999E-4</c:v>
                </c:pt>
                <c:pt idx="8">
                  <c:v>1.28295E-4</c:v>
                </c:pt>
                <c:pt idx="9">
                  <c:v>1.2703700000000001E-4</c:v>
                </c:pt>
                <c:pt idx="10">
                  <c:v>1.2578900000000001E-4</c:v>
                </c:pt>
                <c:pt idx="11">
                  <c:v>1.2455100000000001E-4</c:v>
                </c:pt>
                <c:pt idx="12">
                  <c:v>1.23323E-4</c:v>
                </c:pt>
                <c:pt idx="13">
                  <c:v>1.2210699999999999E-4</c:v>
                </c:pt>
                <c:pt idx="14">
                  <c:v>1.209E-4</c:v>
                </c:pt>
                <c:pt idx="15">
                  <c:v>1.1970500000000001E-4</c:v>
                </c:pt>
                <c:pt idx="16">
                  <c:v>1.18521E-4</c:v>
                </c:pt>
                <c:pt idx="17">
                  <c:v>1.17348E-4</c:v>
                </c:pt>
                <c:pt idx="18">
                  <c:v>1.16186E-4</c:v>
                </c:pt>
                <c:pt idx="19">
                  <c:v>1.15036E-4</c:v>
                </c:pt>
                <c:pt idx="20">
                  <c:v>1.13896E-4</c:v>
                </c:pt>
                <c:pt idx="21">
                  <c:v>1.12767E-4</c:v>
                </c:pt>
                <c:pt idx="22">
                  <c:v>1.11649E-4</c:v>
                </c:pt>
                <c:pt idx="23">
                  <c:v>1.10542E-4</c:v>
                </c:pt>
                <c:pt idx="24">
                  <c:v>1.09446E-4</c:v>
                </c:pt>
                <c:pt idx="25">
                  <c:v>1.0836E-4</c:v>
                </c:pt>
                <c:pt idx="26">
                  <c:v>1.07286E-4</c:v>
                </c:pt>
                <c:pt idx="27">
                  <c:v>1.06221E-4</c:v>
                </c:pt>
                <c:pt idx="28">
                  <c:v>1.05167E-4</c:v>
                </c:pt>
                <c:pt idx="29">
                  <c:v>1.0412399999999999E-4</c:v>
                </c:pt>
                <c:pt idx="30">
                  <c:v>1.0309100000000001E-4</c:v>
                </c:pt>
                <c:pt idx="31">
                  <c:v>1.02068E-4</c:v>
                </c:pt>
                <c:pt idx="32">
                  <c:v>1.01055E-4</c:v>
                </c:pt>
                <c:pt idx="33">
                  <c:v>1.00052E-4</c:v>
                </c:pt>
                <c:pt idx="34">
                  <c:v>9.9059499999999996E-5</c:v>
                </c:pt>
                <c:pt idx="35">
                  <c:v>9.8076400000000002E-5</c:v>
                </c:pt>
                <c:pt idx="36">
                  <c:v>9.7103100000000002E-5</c:v>
                </c:pt>
                <c:pt idx="37">
                  <c:v>9.6139399999999996E-5</c:v>
                </c:pt>
                <c:pt idx="38">
                  <c:v>9.5185299999999998E-5</c:v>
                </c:pt>
                <c:pt idx="39">
                  <c:v>9.4240599999999993E-5</c:v>
                </c:pt>
                <c:pt idx="40">
                  <c:v>9.3305299999999996E-5</c:v>
                </c:pt>
                <c:pt idx="41">
                  <c:v>9.2379299999999998E-5</c:v>
                </c:pt>
                <c:pt idx="42">
                  <c:v>9.1462499999999994E-5</c:v>
                </c:pt>
                <c:pt idx="43">
                  <c:v>9.0554699999999995E-5</c:v>
                </c:pt>
                <c:pt idx="44">
                  <c:v>8.9655999999999997E-5</c:v>
                </c:pt>
                <c:pt idx="45">
                  <c:v>8.8766100000000004E-5</c:v>
                </c:pt>
                <c:pt idx="46">
                  <c:v>8.7885099999999996E-5</c:v>
                </c:pt>
                <c:pt idx="47">
                  <c:v>8.7012800000000001E-5</c:v>
                </c:pt>
                <c:pt idx="48">
                  <c:v>8.6149200000000005E-5</c:v>
                </c:pt>
                <c:pt idx="49">
                  <c:v>8.5294200000000001E-5</c:v>
                </c:pt>
                <c:pt idx="50">
                  <c:v>8.4447600000000001E-5</c:v>
                </c:pt>
                <c:pt idx="51">
                  <c:v>8.36095E-5</c:v>
                </c:pt>
                <c:pt idx="52">
                  <c:v>8.2779600000000003E-5</c:v>
                </c:pt>
                <c:pt idx="53">
                  <c:v>8.1958000000000004E-5</c:v>
                </c:pt>
                <c:pt idx="54">
                  <c:v>8.1144599999999996E-5</c:v>
                </c:pt>
                <c:pt idx="55">
                  <c:v>8.0339200000000005E-5</c:v>
                </c:pt>
                <c:pt idx="56">
                  <c:v>7.9541800000000005E-5</c:v>
                </c:pt>
                <c:pt idx="57">
                  <c:v>7.8752300000000002E-5</c:v>
                </c:pt>
                <c:pt idx="58">
                  <c:v>7.7970699999999995E-5</c:v>
                </c:pt>
                <c:pt idx="59">
                  <c:v>7.7196799999999999E-5</c:v>
                </c:pt>
                <c:pt idx="60">
                  <c:v>7.64306E-5</c:v>
                </c:pt>
                <c:pt idx="61">
                  <c:v>7.5672000000000003E-5</c:v>
                </c:pt>
                <c:pt idx="62">
                  <c:v>7.3999199999999994E-5</c:v>
                </c:pt>
              </c:numCache>
            </c:numRef>
          </c:yVal>
          <c:smooth val="0"/>
          <c:extLst>
            <c:ext xmlns:c16="http://schemas.microsoft.com/office/drawing/2014/chart" uri="{C3380CC4-5D6E-409C-BE32-E72D297353CC}">
              <c16:uniqueId val="{00000000-2416-451F-80D8-0263EB459229}"/>
            </c:ext>
          </c:extLst>
        </c:ser>
        <c:ser>
          <c:idx val="1"/>
          <c:order val="1"/>
          <c:tx>
            <c:strRef>
              <c:f>CONC!$C$1</c:f>
              <c:strCache>
                <c:ptCount val="1"/>
                <c:pt idx="0">
                  <c:v>OH </c:v>
                </c:pt>
              </c:strCache>
            </c:strRef>
          </c:tx>
          <c:xVal>
            <c:numRef>
              <c:f>CONC!$A$2:$A$64</c:f>
              <c:numCache>
                <c:formatCode>0.00E+00</c:formatCode>
                <c:ptCount val="63"/>
                <c:pt idx="0">
                  <c:v>0</c:v>
                </c:pt>
                <c:pt idx="1">
                  <c:v>1.2623599999999999</c:v>
                </c:pt>
                <c:pt idx="2">
                  <c:v>2.8906100000000001</c:v>
                </c:pt>
                <c:pt idx="3">
                  <c:v>6.7801200000000001</c:v>
                </c:pt>
                <c:pt idx="4">
                  <c:v>15.714499999999999</c:v>
                </c:pt>
                <c:pt idx="5">
                  <c:v>24.649000000000001</c:v>
                </c:pt>
                <c:pt idx="6">
                  <c:v>33.583399999999997</c:v>
                </c:pt>
                <c:pt idx="7">
                  <c:v>42.517800000000001</c:v>
                </c:pt>
                <c:pt idx="8">
                  <c:v>51.452300000000001</c:v>
                </c:pt>
                <c:pt idx="9">
                  <c:v>60.386699999999998</c:v>
                </c:pt>
                <c:pt idx="10">
                  <c:v>69.321100000000001</c:v>
                </c:pt>
                <c:pt idx="11">
                  <c:v>78.255499999999998</c:v>
                </c:pt>
                <c:pt idx="12">
                  <c:v>87.19</c:v>
                </c:pt>
                <c:pt idx="13">
                  <c:v>96.124399999999994</c:v>
                </c:pt>
                <c:pt idx="14">
                  <c:v>105.059</c:v>
                </c:pt>
                <c:pt idx="15">
                  <c:v>113.99299999999999</c:v>
                </c:pt>
                <c:pt idx="16">
                  <c:v>122.928</c:v>
                </c:pt>
                <c:pt idx="17">
                  <c:v>131.86199999999999</c:v>
                </c:pt>
                <c:pt idx="18">
                  <c:v>140.797</c:v>
                </c:pt>
                <c:pt idx="19">
                  <c:v>149.73099999999999</c:v>
                </c:pt>
                <c:pt idx="20">
                  <c:v>158.66499999999999</c:v>
                </c:pt>
                <c:pt idx="21">
                  <c:v>167.6</c:v>
                </c:pt>
                <c:pt idx="22">
                  <c:v>176.53399999999999</c:v>
                </c:pt>
                <c:pt idx="23">
                  <c:v>185.46899999999999</c:v>
                </c:pt>
                <c:pt idx="24">
                  <c:v>194.40299999999999</c:v>
                </c:pt>
                <c:pt idx="25">
                  <c:v>203.33699999999999</c:v>
                </c:pt>
                <c:pt idx="26">
                  <c:v>212.27199999999999</c:v>
                </c:pt>
                <c:pt idx="27">
                  <c:v>221.20599999999999</c:v>
                </c:pt>
                <c:pt idx="28">
                  <c:v>230.14099999999999</c:v>
                </c:pt>
                <c:pt idx="29">
                  <c:v>239.07499999999999</c:v>
                </c:pt>
                <c:pt idx="30">
                  <c:v>248.01</c:v>
                </c:pt>
                <c:pt idx="31">
                  <c:v>256.94400000000002</c:v>
                </c:pt>
                <c:pt idx="32">
                  <c:v>265.87799999999999</c:v>
                </c:pt>
                <c:pt idx="33">
                  <c:v>274.81299999999999</c:v>
                </c:pt>
                <c:pt idx="34">
                  <c:v>283.74700000000001</c:v>
                </c:pt>
                <c:pt idx="35">
                  <c:v>292.68200000000002</c:v>
                </c:pt>
                <c:pt idx="36">
                  <c:v>301.61599999999999</c:v>
                </c:pt>
                <c:pt idx="37">
                  <c:v>310.55099999999999</c:v>
                </c:pt>
                <c:pt idx="38">
                  <c:v>319.48500000000001</c:v>
                </c:pt>
                <c:pt idx="39">
                  <c:v>328.41899999999998</c:v>
                </c:pt>
                <c:pt idx="40">
                  <c:v>337.35399999999998</c:v>
                </c:pt>
                <c:pt idx="41">
                  <c:v>346.28800000000001</c:v>
                </c:pt>
                <c:pt idx="42">
                  <c:v>355.22300000000001</c:v>
                </c:pt>
                <c:pt idx="43">
                  <c:v>364.15699999999998</c:v>
                </c:pt>
                <c:pt idx="44">
                  <c:v>373.09199999999998</c:v>
                </c:pt>
                <c:pt idx="45">
                  <c:v>382.02600000000001</c:v>
                </c:pt>
                <c:pt idx="46">
                  <c:v>390.96</c:v>
                </c:pt>
                <c:pt idx="47">
                  <c:v>399.89499999999998</c:v>
                </c:pt>
                <c:pt idx="48">
                  <c:v>408.82900000000001</c:v>
                </c:pt>
                <c:pt idx="49">
                  <c:v>417.76400000000001</c:v>
                </c:pt>
                <c:pt idx="50">
                  <c:v>426.69799999999998</c:v>
                </c:pt>
                <c:pt idx="51">
                  <c:v>435.63299999999998</c:v>
                </c:pt>
                <c:pt idx="52">
                  <c:v>444.56700000000001</c:v>
                </c:pt>
                <c:pt idx="53">
                  <c:v>453.50099999999998</c:v>
                </c:pt>
                <c:pt idx="54">
                  <c:v>462.43599999999998</c:v>
                </c:pt>
                <c:pt idx="55">
                  <c:v>471.37</c:v>
                </c:pt>
                <c:pt idx="56">
                  <c:v>480.30500000000001</c:v>
                </c:pt>
                <c:pt idx="57">
                  <c:v>489.23899999999998</c:v>
                </c:pt>
                <c:pt idx="58">
                  <c:v>498.17399999999998</c:v>
                </c:pt>
                <c:pt idx="59">
                  <c:v>507.108</c:v>
                </c:pt>
                <c:pt idx="60">
                  <c:v>516.04200000000003</c:v>
                </c:pt>
                <c:pt idx="61">
                  <c:v>524.97699999999998</c:v>
                </c:pt>
                <c:pt idx="62">
                  <c:v>545</c:v>
                </c:pt>
              </c:numCache>
            </c:numRef>
          </c:xVal>
          <c:yVal>
            <c:numRef>
              <c:f>CONC!$C$2:$C$64</c:f>
              <c:numCache>
                <c:formatCode>0.00E+00</c:formatCode>
                <c:ptCount val="63"/>
                <c:pt idx="0">
                  <c:v>0</c:v>
                </c:pt>
                <c:pt idx="1">
                  <c:v>4.0229599999999997E-12</c:v>
                </c:pt>
                <c:pt idx="2">
                  <c:v>4.0452099999999999E-12</c:v>
                </c:pt>
                <c:pt idx="3">
                  <c:v>4.0964199999999996E-12</c:v>
                </c:pt>
                <c:pt idx="4">
                  <c:v>4.2038700000000003E-12</c:v>
                </c:pt>
                <c:pt idx="5">
                  <c:v>4.2976500000000004E-12</c:v>
                </c:pt>
                <c:pt idx="6">
                  <c:v>4.3787799999999996E-12</c:v>
                </c:pt>
                <c:pt idx="7">
                  <c:v>4.4485400000000003E-12</c:v>
                </c:pt>
                <c:pt idx="8">
                  <c:v>4.5083299999999996E-12</c:v>
                </c:pt>
                <c:pt idx="9">
                  <c:v>4.5594999999999997E-12</c:v>
                </c:pt>
                <c:pt idx="10">
                  <c:v>4.6033599999999999E-12</c:v>
                </c:pt>
                <c:pt idx="11">
                  <c:v>4.6410700000000001E-12</c:v>
                </c:pt>
                <c:pt idx="12">
                  <c:v>4.6736599999999997E-12</c:v>
                </c:pt>
                <c:pt idx="13">
                  <c:v>4.702E-12</c:v>
                </c:pt>
                <c:pt idx="14">
                  <c:v>4.7268500000000002E-12</c:v>
                </c:pt>
                <c:pt idx="15">
                  <c:v>4.7488100000000002E-12</c:v>
                </c:pt>
                <c:pt idx="16">
                  <c:v>4.7684099999999999E-12</c:v>
                </c:pt>
                <c:pt idx="17">
                  <c:v>4.7860800000000001E-12</c:v>
                </c:pt>
                <c:pt idx="18">
                  <c:v>4.80214E-12</c:v>
                </c:pt>
                <c:pt idx="19">
                  <c:v>4.8168999999999998E-12</c:v>
                </c:pt>
                <c:pt idx="20">
                  <c:v>4.8305899999999999E-12</c:v>
                </c:pt>
                <c:pt idx="21">
                  <c:v>4.8433799999999999E-12</c:v>
                </c:pt>
                <c:pt idx="22">
                  <c:v>4.8554500000000003E-12</c:v>
                </c:pt>
                <c:pt idx="23">
                  <c:v>4.8669099999999999E-12</c:v>
                </c:pt>
                <c:pt idx="24">
                  <c:v>4.8778800000000002E-12</c:v>
                </c:pt>
                <c:pt idx="25">
                  <c:v>4.8884200000000003E-12</c:v>
                </c:pt>
                <c:pt idx="26">
                  <c:v>4.8986299999999997E-12</c:v>
                </c:pt>
                <c:pt idx="27">
                  <c:v>4.9085499999999997E-12</c:v>
                </c:pt>
                <c:pt idx="28">
                  <c:v>4.9182400000000003E-12</c:v>
                </c:pt>
                <c:pt idx="29">
                  <c:v>4.9277199999999999E-12</c:v>
                </c:pt>
                <c:pt idx="30">
                  <c:v>4.9370500000000003E-12</c:v>
                </c:pt>
                <c:pt idx="31">
                  <c:v>4.9462399999999997E-12</c:v>
                </c:pt>
                <c:pt idx="32">
                  <c:v>4.9553200000000003E-12</c:v>
                </c:pt>
                <c:pt idx="33">
                  <c:v>4.9642999999999998E-12</c:v>
                </c:pt>
                <c:pt idx="34">
                  <c:v>4.9731999999999999E-12</c:v>
                </c:pt>
                <c:pt idx="35">
                  <c:v>4.9820500000000002E-12</c:v>
                </c:pt>
                <c:pt idx="36">
                  <c:v>4.9908399999999998E-12</c:v>
                </c:pt>
                <c:pt idx="37">
                  <c:v>4.9995800000000004E-12</c:v>
                </c:pt>
                <c:pt idx="38">
                  <c:v>5.0083E-12</c:v>
                </c:pt>
                <c:pt idx="39">
                  <c:v>5.0169799999999999E-12</c:v>
                </c:pt>
                <c:pt idx="40">
                  <c:v>5.0256400000000004E-12</c:v>
                </c:pt>
                <c:pt idx="41">
                  <c:v>5.0342899999999999E-12</c:v>
                </c:pt>
                <c:pt idx="42">
                  <c:v>5.0429200000000001E-12</c:v>
                </c:pt>
                <c:pt idx="43">
                  <c:v>5.0515400000000001E-12</c:v>
                </c:pt>
                <c:pt idx="44">
                  <c:v>5.06015E-12</c:v>
                </c:pt>
                <c:pt idx="45">
                  <c:v>5.0687599999999999E-12</c:v>
                </c:pt>
                <c:pt idx="46">
                  <c:v>5.0773699999999998E-12</c:v>
                </c:pt>
                <c:pt idx="47">
                  <c:v>5.0859700000000004E-12</c:v>
                </c:pt>
                <c:pt idx="48">
                  <c:v>5.0945700000000002E-12</c:v>
                </c:pt>
                <c:pt idx="49">
                  <c:v>5.10317E-12</c:v>
                </c:pt>
                <c:pt idx="50">
                  <c:v>5.1117699999999997E-12</c:v>
                </c:pt>
                <c:pt idx="51">
                  <c:v>5.1203799999999996E-12</c:v>
                </c:pt>
                <c:pt idx="52">
                  <c:v>5.1289800000000002E-12</c:v>
                </c:pt>
                <c:pt idx="53">
                  <c:v>5.1375900000000001E-12</c:v>
                </c:pt>
                <c:pt idx="54">
                  <c:v>5.1462E-12</c:v>
                </c:pt>
                <c:pt idx="55">
                  <c:v>5.15482E-12</c:v>
                </c:pt>
                <c:pt idx="56">
                  <c:v>5.1634299999999999E-12</c:v>
                </c:pt>
                <c:pt idx="57">
                  <c:v>5.17205E-12</c:v>
                </c:pt>
                <c:pt idx="58">
                  <c:v>5.1806800000000001E-12</c:v>
                </c:pt>
                <c:pt idx="59">
                  <c:v>5.1893000000000001E-12</c:v>
                </c:pt>
                <c:pt idx="60">
                  <c:v>5.1979300000000002E-12</c:v>
                </c:pt>
                <c:pt idx="61">
                  <c:v>5.2065600000000004E-12</c:v>
                </c:pt>
                <c:pt idx="62">
                  <c:v>5.2259000000000002E-12</c:v>
                </c:pt>
              </c:numCache>
            </c:numRef>
          </c:yVal>
          <c:smooth val="0"/>
          <c:extLst>
            <c:ext xmlns:c16="http://schemas.microsoft.com/office/drawing/2014/chart" uri="{C3380CC4-5D6E-409C-BE32-E72D297353CC}">
              <c16:uniqueId val="{00000001-2416-451F-80D8-0263EB459229}"/>
            </c:ext>
          </c:extLst>
        </c:ser>
        <c:ser>
          <c:idx val="2"/>
          <c:order val="2"/>
          <c:tx>
            <c:strRef>
              <c:f>CONC!$D$1</c:f>
              <c:strCache>
                <c:ptCount val="1"/>
                <c:pt idx="0">
                  <c:v>Cl </c:v>
                </c:pt>
              </c:strCache>
            </c:strRef>
          </c:tx>
          <c:xVal>
            <c:numRef>
              <c:f>CONC!$A$2:$A$64</c:f>
              <c:numCache>
                <c:formatCode>0.00E+00</c:formatCode>
                <c:ptCount val="63"/>
                <c:pt idx="0">
                  <c:v>0</c:v>
                </c:pt>
                <c:pt idx="1">
                  <c:v>1.2623599999999999</c:v>
                </c:pt>
                <c:pt idx="2">
                  <c:v>2.8906100000000001</c:v>
                </c:pt>
                <c:pt idx="3">
                  <c:v>6.7801200000000001</c:v>
                </c:pt>
                <c:pt idx="4">
                  <c:v>15.714499999999999</c:v>
                </c:pt>
                <c:pt idx="5">
                  <c:v>24.649000000000001</c:v>
                </c:pt>
                <c:pt idx="6">
                  <c:v>33.583399999999997</c:v>
                </c:pt>
                <c:pt idx="7">
                  <c:v>42.517800000000001</c:v>
                </c:pt>
                <c:pt idx="8">
                  <c:v>51.452300000000001</c:v>
                </c:pt>
                <c:pt idx="9">
                  <c:v>60.386699999999998</c:v>
                </c:pt>
                <c:pt idx="10">
                  <c:v>69.321100000000001</c:v>
                </c:pt>
                <c:pt idx="11">
                  <c:v>78.255499999999998</c:v>
                </c:pt>
                <c:pt idx="12">
                  <c:v>87.19</c:v>
                </c:pt>
                <c:pt idx="13">
                  <c:v>96.124399999999994</c:v>
                </c:pt>
                <c:pt idx="14">
                  <c:v>105.059</c:v>
                </c:pt>
                <c:pt idx="15">
                  <c:v>113.99299999999999</c:v>
                </c:pt>
                <c:pt idx="16">
                  <c:v>122.928</c:v>
                </c:pt>
                <c:pt idx="17">
                  <c:v>131.86199999999999</c:v>
                </c:pt>
                <c:pt idx="18">
                  <c:v>140.797</c:v>
                </c:pt>
                <c:pt idx="19">
                  <c:v>149.73099999999999</c:v>
                </c:pt>
                <c:pt idx="20">
                  <c:v>158.66499999999999</c:v>
                </c:pt>
                <c:pt idx="21">
                  <c:v>167.6</c:v>
                </c:pt>
                <c:pt idx="22">
                  <c:v>176.53399999999999</c:v>
                </c:pt>
                <c:pt idx="23">
                  <c:v>185.46899999999999</c:v>
                </c:pt>
                <c:pt idx="24">
                  <c:v>194.40299999999999</c:v>
                </c:pt>
                <c:pt idx="25">
                  <c:v>203.33699999999999</c:v>
                </c:pt>
                <c:pt idx="26">
                  <c:v>212.27199999999999</c:v>
                </c:pt>
                <c:pt idx="27">
                  <c:v>221.20599999999999</c:v>
                </c:pt>
                <c:pt idx="28">
                  <c:v>230.14099999999999</c:v>
                </c:pt>
                <c:pt idx="29">
                  <c:v>239.07499999999999</c:v>
                </c:pt>
                <c:pt idx="30">
                  <c:v>248.01</c:v>
                </c:pt>
                <c:pt idx="31">
                  <c:v>256.94400000000002</c:v>
                </c:pt>
                <c:pt idx="32">
                  <c:v>265.87799999999999</c:v>
                </c:pt>
                <c:pt idx="33">
                  <c:v>274.81299999999999</c:v>
                </c:pt>
                <c:pt idx="34">
                  <c:v>283.74700000000001</c:v>
                </c:pt>
                <c:pt idx="35">
                  <c:v>292.68200000000002</c:v>
                </c:pt>
                <c:pt idx="36">
                  <c:v>301.61599999999999</c:v>
                </c:pt>
                <c:pt idx="37">
                  <c:v>310.55099999999999</c:v>
                </c:pt>
                <c:pt idx="38">
                  <c:v>319.48500000000001</c:v>
                </c:pt>
                <c:pt idx="39">
                  <c:v>328.41899999999998</c:v>
                </c:pt>
                <c:pt idx="40">
                  <c:v>337.35399999999998</c:v>
                </c:pt>
                <c:pt idx="41">
                  <c:v>346.28800000000001</c:v>
                </c:pt>
                <c:pt idx="42">
                  <c:v>355.22300000000001</c:v>
                </c:pt>
                <c:pt idx="43">
                  <c:v>364.15699999999998</c:v>
                </c:pt>
                <c:pt idx="44">
                  <c:v>373.09199999999998</c:v>
                </c:pt>
                <c:pt idx="45">
                  <c:v>382.02600000000001</c:v>
                </c:pt>
                <c:pt idx="46">
                  <c:v>390.96</c:v>
                </c:pt>
                <c:pt idx="47">
                  <c:v>399.89499999999998</c:v>
                </c:pt>
                <c:pt idx="48">
                  <c:v>408.82900000000001</c:v>
                </c:pt>
                <c:pt idx="49">
                  <c:v>417.76400000000001</c:v>
                </c:pt>
                <c:pt idx="50">
                  <c:v>426.69799999999998</c:v>
                </c:pt>
                <c:pt idx="51">
                  <c:v>435.63299999999998</c:v>
                </c:pt>
                <c:pt idx="52">
                  <c:v>444.56700000000001</c:v>
                </c:pt>
                <c:pt idx="53">
                  <c:v>453.50099999999998</c:v>
                </c:pt>
                <c:pt idx="54">
                  <c:v>462.43599999999998</c:v>
                </c:pt>
                <c:pt idx="55">
                  <c:v>471.37</c:v>
                </c:pt>
                <c:pt idx="56">
                  <c:v>480.30500000000001</c:v>
                </c:pt>
                <c:pt idx="57">
                  <c:v>489.23899999999998</c:v>
                </c:pt>
                <c:pt idx="58">
                  <c:v>498.17399999999998</c:v>
                </c:pt>
                <c:pt idx="59">
                  <c:v>507.108</c:v>
                </c:pt>
                <c:pt idx="60">
                  <c:v>516.04200000000003</c:v>
                </c:pt>
                <c:pt idx="61">
                  <c:v>524.97699999999998</c:v>
                </c:pt>
                <c:pt idx="62">
                  <c:v>545</c:v>
                </c:pt>
              </c:numCache>
            </c:numRef>
          </c:xVal>
          <c:yVal>
            <c:numRef>
              <c:f>CONC!$D$2:$D$64</c:f>
              <c:numCache>
                <c:formatCode>0.00E+00</c:formatCode>
                <c:ptCount val="63"/>
                <c:pt idx="0">
                  <c:v>0</c:v>
                </c:pt>
                <c:pt idx="1">
                  <c:v>1.32672E-13</c:v>
                </c:pt>
                <c:pt idx="2">
                  <c:v>1.32656E-13</c:v>
                </c:pt>
                <c:pt idx="3">
                  <c:v>1.3260800000000001E-13</c:v>
                </c:pt>
                <c:pt idx="4">
                  <c:v>1.32443E-13</c:v>
                </c:pt>
                <c:pt idx="5">
                  <c:v>1.3221199999999999E-13</c:v>
                </c:pt>
                <c:pt idx="6">
                  <c:v>1.3192600000000001E-13</c:v>
                </c:pt>
                <c:pt idx="7">
                  <c:v>1.31597E-13</c:v>
                </c:pt>
                <c:pt idx="8">
                  <c:v>1.3123200000000001E-13</c:v>
                </c:pt>
                <c:pt idx="9">
                  <c:v>1.3083800000000001E-13</c:v>
                </c:pt>
                <c:pt idx="10">
                  <c:v>1.3042200000000001E-13</c:v>
                </c:pt>
                <c:pt idx="11">
                  <c:v>1.2998799999999999E-13</c:v>
                </c:pt>
                <c:pt idx="12">
                  <c:v>1.2954099999999999E-13</c:v>
                </c:pt>
                <c:pt idx="13">
                  <c:v>1.2908200000000001E-13</c:v>
                </c:pt>
                <c:pt idx="14">
                  <c:v>1.28615E-13</c:v>
                </c:pt>
                <c:pt idx="15">
                  <c:v>1.2814099999999999E-13</c:v>
                </c:pt>
                <c:pt idx="16">
                  <c:v>1.27662E-13</c:v>
                </c:pt>
                <c:pt idx="17">
                  <c:v>1.27179E-13</c:v>
                </c:pt>
                <c:pt idx="18">
                  <c:v>1.2669100000000001E-13</c:v>
                </c:pt>
                <c:pt idx="19">
                  <c:v>1.26201E-13</c:v>
                </c:pt>
                <c:pt idx="20">
                  <c:v>1.25709E-13</c:v>
                </c:pt>
                <c:pt idx="21">
                  <c:v>1.2521500000000001E-13</c:v>
                </c:pt>
                <c:pt idx="22">
                  <c:v>1.24719E-13</c:v>
                </c:pt>
                <c:pt idx="23">
                  <c:v>1.2422199999999999E-13</c:v>
                </c:pt>
                <c:pt idx="24">
                  <c:v>1.2372299999999999E-13</c:v>
                </c:pt>
                <c:pt idx="25">
                  <c:v>1.2322299999999999E-13</c:v>
                </c:pt>
                <c:pt idx="26">
                  <c:v>1.22722E-13</c:v>
                </c:pt>
                <c:pt idx="27">
                  <c:v>1.2222000000000001E-13</c:v>
                </c:pt>
                <c:pt idx="28">
                  <c:v>1.2171799999999999E-13</c:v>
                </c:pt>
                <c:pt idx="29">
                  <c:v>1.2121400000000001E-13</c:v>
                </c:pt>
                <c:pt idx="30">
                  <c:v>1.2071E-13</c:v>
                </c:pt>
                <c:pt idx="31">
                  <c:v>1.2020499999999999E-13</c:v>
                </c:pt>
                <c:pt idx="32">
                  <c:v>1.1970000000000001E-13</c:v>
                </c:pt>
                <c:pt idx="33">
                  <c:v>1.1919300000000001E-13</c:v>
                </c:pt>
                <c:pt idx="34">
                  <c:v>1.1868700000000001E-13</c:v>
                </c:pt>
                <c:pt idx="35">
                  <c:v>1.1817900000000001E-13</c:v>
                </c:pt>
                <c:pt idx="36">
                  <c:v>1.1767099999999999E-13</c:v>
                </c:pt>
                <c:pt idx="37">
                  <c:v>1.1716299999999999E-13</c:v>
                </c:pt>
                <c:pt idx="38">
                  <c:v>1.16654E-13</c:v>
                </c:pt>
                <c:pt idx="39">
                  <c:v>1.1614400000000001E-13</c:v>
                </c:pt>
                <c:pt idx="40">
                  <c:v>1.1563399999999999E-13</c:v>
                </c:pt>
                <c:pt idx="41">
                  <c:v>1.1512400000000001E-13</c:v>
                </c:pt>
                <c:pt idx="42">
                  <c:v>1.1461299999999999E-13</c:v>
                </c:pt>
                <c:pt idx="43">
                  <c:v>1.1410200000000001E-13</c:v>
                </c:pt>
                <c:pt idx="44">
                  <c:v>1.1359E-13</c:v>
                </c:pt>
                <c:pt idx="45">
                  <c:v>1.13078E-13</c:v>
                </c:pt>
                <c:pt idx="46">
                  <c:v>1.1256599999999999E-13</c:v>
                </c:pt>
                <c:pt idx="47">
                  <c:v>1.12053E-13</c:v>
                </c:pt>
                <c:pt idx="48">
                  <c:v>1.1154099999999999E-13</c:v>
                </c:pt>
                <c:pt idx="49">
                  <c:v>1.11027E-13</c:v>
                </c:pt>
                <c:pt idx="50">
                  <c:v>1.10514E-13</c:v>
                </c:pt>
                <c:pt idx="51">
                  <c:v>1.1E-13</c:v>
                </c:pt>
                <c:pt idx="52">
                  <c:v>1.0948700000000001E-13</c:v>
                </c:pt>
                <c:pt idx="53">
                  <c:v>1.08973E-13</c:v>
                </c:pt>
                <c:pt idx="54">
                  <c:v>1.0845800000000001E-13</c:v>
                </c:pt>
                <c:pt idx="55">
                  <c:v>1.07944E-13</c:v>
                </c:pt>
                <c:pt idx="56">
                  <c:v>1.0743E-13</c:v>
                </c:pt>
                <c:pt idx="57">
                  <c:v>1.06915E-13</c:v>
                </c:pt>
                <c:pt idx="58">
                  <c:v>1.06401E-13</c:v>
                </c:pt>
                <c:pt idx="59">
                  <c:v>1.05886E-13</c:v>
                </c:pt>
                <c:pt idx="60">
                  <c:v>1.05372E-13</c:v>
                </c:pt>
                <c:pt idx="61">
                  <c:v>1.04857E-13</c:v>
                </c:pt>
                <c:pt idx="62">
                  <c:v>1.03704E-13</c:v>
                </c:pt>
              </c:numCache>
            </c:numRef>
          </c:yVal>
          <c:smooth val="0"/>
          <c:extLst>
            <c:ext xmlns:c16="http://schemas.microsoft.com/office/drawing/2014/chart" uri="{C3380CC4-5D6E-409C-BE32-E72D297353CC}">
              <c16:uniqueId val="{00000002-2416-451F-80D8-0263EB459229}"/>
            </c:ext>
          </c:extLst>
        </c:ser>
        <c:ser>
          <c:idx val="3"/>
          <c:order val="3"/>
          <c:tx>
            <c:strRef>
              <c:f>CONC!$E$1</c:f>
              <c:strCache>
                <c:ptCount val="1"/>
                <c:pt idx="0">
                  <c:v>ClO- </c:v>
                </c:pt>
              </c:strCache>
            </c:strRef>
          </c:tx>
          <c:xVal>
            <c:numRef>
              <c:f>CONC!$A$2:$A$64</c:f>
              <c:numCache>
                <c:formatCode>0.00E+00</c:formatCode>
                <c:ptCount val="63"/>
                <c:pt idx="0">
                  <c:v>0</c:v>
                </c:pt>
                <c:pt idx="1">
                  <c:v>1.2623599999999999</c:v>
                </c:pt>
                <c:pt idx="2">
                  <c:v>2.8906100000000001</c:v>
                </c:pt>
                <c:pt idx="3">
                  <c:v>6.7801200000000001</c:v>
                </c:pt>
                <c:pt idx="4">
                  <c:v>15.714499999999999</c:v>
                </c:pt>
                <c:pt idx="5">
                  <c:v>24.649000000000001</c:v>
                </c:pt>
                <c:pt idx="6">
                  <c:v>33.583399999999997</c:v>
                </c:pt>
                <c:pt idx="7">
                  <c:v>42.517800000000001</c:v>
                </c:pt>
                <c:pt idx="8">
                  <c:v>51.452300000000001</c:v>
                </c:pt>
                <c:pt idx="9">
                  <c:v>60.386699999999998</c:v>
                </c:pt>
                <c:pt idx="10">
                  <c:v>69.321100000000001</c:v>
                </c:pt>
                <c:pt idx="11">
                  <c:v>78.255499999999998</c:v>
                </c:pt>
                <c:pt idx="12">
                  <c:v>87.19</c:v>
                </c:pt>
                <c:pt idx="13">
                  <c:v>96.124399999999994</c:v>
                </c:pt>
                <c:pt idx="14">
                  <c:v>105.059</c:v>
                </c:pt>
                <c:pt idx="15">
                  <c:v>113.99299999999999</c:v>
                </c:pt>
                <c:pt idx="16">
                  <c:v>122.928</c:v>
                </c:pt>
                <c:pt idx="17">
                  <c:v>131.86199999999999</c:v>
                </c:pt>
                <c:pt idx="18">
                  <c:v>140.797</c:v>
                </c:pt>
                <c:pt idx="19">
                  <c:v>149.73099999999999</c:v>
                </c:pt>
                <c:pt idx="20">
                  <c:v>158.66499999999999</c:v>
                </c:pt>
                <c:pt idx="21">
                  <c:v>167.6</c:v>
                </c:pt>
                <c:pt idx="22">
                  <c:v>176.53399999999999</c:v>
                </c:pt>
                <c:pt idx="23">
                  <c:v>185.46899999999999</c:v>
                </c:pt>
                <c:pt idx="24">
                  <c:v>194.40299999999999</c:v>
                </c:pt>
                <c:pt idx="25">
                  <c:v>203.33699999999999</c:v>
                </c:pt>
                <c:pt idx="26">
                  <c:v>212.27199999999999</c:v>
                </c:pt>
                <c:pt idx="27">
                  <c:v>221.20599999999999</c:v>
                </c:pt>
                <c:pt idx="28">
                  <c:v>230.14099999999999</c:v>
                </c:pt>
                <c:pt idx="29">
                  <c:v>239.07499999999999</c:v>
                </c:pt>
                <c:pt idx="30">
                  <c:v>248.01</c:v>
                </c:pt>
                <c:pt idx="31">
                  <c:v>256.94400000000002</c:v>
                </c:pt>
                <c:pt idx="32">
                  <c:v>265.87799999999999</c:v>
                </c:pt>
                <c:pt idx="33">
                  <c:v>274.81299999999999</c:v>
                </c:pt>
                <c:pt idx="34">
                  <c:v>283.74700000000001</c:v>
                </c:pt>
                <c:pt idx="35">
                  <c:v>292.68200000000002</c:v>
                </c:pt>
                <c:pt idx="36">
                  <c:v>301.61599999999999</c:v>
                </c:pt>
                <c:pt idx="37">
                  <c:v>310.55099999999999</c:v>
                </c:pt>
                <c:pt idx="38">
                  <c:v>319.48500000000001</c:v>
                </c:pt>
                <c:pt idx="39">
                  <c:v>328.41899999999998</c:v>
                </c:pt>
                <c:pt idx="40">
                  <c:v>337.35399999999998</c:v>
                </c:pt>
                <c:pt idx="41">
                  <c:v>346.28800000000001</c:v>
                </c:pt>
                <c:pt idx="42">
                  <c:v>355.22300000000001</c:v>
                </c:pt>
                <c:pt idx="43">
                  <c:v>364.15699999999998</c:v>
                </c:pt>
                <c:pt idx="44">
                  <c:v>373.09199999999998</c:v>
                </c:pt>
                <c:pt idx="45">
                  <c:v>382.02600000000001</c:v>
                </c:pt>
                <c:pt idx="46">
                  <c:v>390.96</c:v>
                </c:pt>
                <c:pt idx="47">
                  <c:v>399.89499999999998</c:v>
                </c:pt>
                <c:pt idx="48">
                  <c:v>408.82900000000001</c:v>
                </c:pt>
                <c:pt idx="49">
                  <c:v>417.76400000000001</c:v>
                </c:pt>
                <c:pt idx="50">
                  <c:v>426.69799999999998</c:v>
                </c:pt>
                <c:pt idx="51">
                  <c:v>435.63299999999998</c:v>
                </c:pt>
                <c:pt idx="52">
                  <c:v>444.56700000000001</c:v>
                </c:pt>
                <c:pt idx="53">
                  <c:v>453.50099999999998</c:v>
                </c:pt>
                <c:pt idx="54">
                  <c:v>462.43599999999998</c:v>
                </c:pt>
                <c:pt idx="55">
                  <c:v>471.37</c:v>
                </c:pt>
                <c:pt idx="56">
                  <c:v>480.30500000000001</c:v>
                </c:pt>
                <c:pt idx="57">
                  <c:v>489.23899999999998</c:v>
                </c:pt>
                <c:pt idx="58">
                  <c:v>498.17399999999998</c:v>
                </c:pt>
                <c:pt idx="59">
                  <c:v>507.108</c:v>
                </c:pt>
                <c:pt idx="60">
                  <c:v>516.04200000000003</c:v>
                </c:pt>
                <c:pt idx="61">
                  <c:v>524.97699999999998</c:v>
                </c:pt>
                <c:pt idx="62">
                  <c:v>545</c:v>
                </c:pt>
              </c:numCache>
            </c:numRef>
          </c:xVal>
          <c:yVal>
            <c:numRef>
              <c:f>CONC!$E$2:$E$64</c:f>
              <c:numCache>
                <c:formatCode>0.00E+00</c:formatCode>
                <c:ptCount val="63"/>
                <c:pt idx="0">
                  <c:v>1.3999999999999999E-4</c:v>
                </c:pt>
                <c:pt idx="1">
                  <c:v>4.2854100000000004E-6</c:v>
                </c:pt>
                <c:pt idx="2">
                  <c:v>4.2779000000000002E-6</c:v>
                </c:pt>
                <c:pt idx="3">
                  <c:v>4.2599700000000003E-6</c:v>
                </c:pt>
                <c:pt idx="4">
                  <c:v>4.2189399999999998E-6</c:v>
                </c:pt>
                <c:pt idx="5">
                  <c:v>4.1780999999999999E-6</c:v>
                </c:pt>
                <c:pt idx="6">
                  <c:v>4.1374899999999999E-6</c:v>
                </c:pt>
                <c:pt idx="7">
                  <c:v>4.0971299999999997E-6</c:v>
                </c:pt>
                <c:pt idx="8">
                  <c:v>4.0570600000000003E-6</c:v>
                </c:pt>
                <c:pt idx="9">
                  <c:v>4.0172700000000001E-6</c:v>
                </c:pt>
                <c:pt idx="10">
                  <c:v>3.9778000000000003E-6</c:v>
                </c:pt>
                <c:pt idx="11">
                  <c:v>3.93865E-6</c:v>
                </c:pt>
                <c:pt idx="12">
                  <c:v>3.8998299999999999E-6</c:v>
                </c:pt>
                <c:pt idx="13">
                  <c:v>3.8613499999999999E-6</c:v>
                </c:pt>
                <c:pt idx="14">
                  <c:v>3.8232099999999999E-6</c:v>
                </c:pt>
                <c:pt idx="15">
                  <c:v>3.7854199999999999E-6</c:v>
                </c:pt>
                <c:pt idx="16">
                  <c:v>3.74797E-6</c:v>
                </c:pt>
                <c:pt idx="17">
                  <c:v>3.7108800000000002E-6</c:v>
                </c:pt>
                <c:pt idx="18">
                  <c:v>3.6741399999999999E-6</c:v>
                </c:pt>
                <c:pt idx="19">
                  <c:v>3.63775E-6</c:v>
                </c:pt>
                <c:pt idx="20">
                  <c:v>3.6017000000000002E-6</c:v>
                </c:pt>
                <c:pt idx="21">
                  <c:v>3.5659999999999998E-6</c:v>
                </c:pt>
                <c:pt idx="22">
                  <c:v>3.5306499999999998E-6</c:v>
                </c:pt>
                <c:pt idx="23">
                  <c:v>3.4956500000000002E-6</c:v>
                </c:pt>
                <c:pt idx="24">
                  <c:v>3.4609799999999999E-6</c:v>
                </c:pt>
                <c:pt idx="25">
                  <c:v>3.4266599999999999E-6</c:v>
                </c:pt>
                <c:pt idx="26">
                  <c:v>3.3926700000000002E-6</c:v>
                </c:pt>
                <c:pt idx="27">
                  <c:v>3.3590099999999998E-6</c:v>
                </c:pt>
                <c:pt idx="28">
                  <c:v>3.3256899999999999E-6</c:v>
                </c:pt>
                <c:pt idx="29">
                  <c:v>3.29269E-6</c:v>
                </c:pt>
                <c:pt idx="30">
                  <c:v>3.2600199999999998E-6</c:v>
                </c:pt>
                <c:pt idx="31">
                  <c:v>3.22767E-6</c:v>
                </c:pt>
                <c:pt idx="32">
                  <c:v>3.1956500000000001E-6</c:v>
                </c:pt>
                <c:pt idx="33">
                  <c:v>3.1639299999999999E-6</c:v>
                </c:pt>
                <c:pt idx="34">
                  <c:v>3.1325399999999999E-6</c:v>
                </c:pt>
                <c:pt idx="35">
                  <c:v>3.1014500000000002E-6</c:v>
                </c:pt>
                <c:pt idx="36">
                  <c:v>3.0706700000000001E-6</c:v>
                </c:pt>
                <c:pt idx="37">
                  <c:v>3.0402000000000001E-6</c:v>
                </c:pt>
                <c:pt idx="38">
                  <c:v>3.0100200000000001E-6</c:v>
                </c:pt>
                <c:pt idx="39">
                  <c:v>2.9801500000000002E-6</c:v>
                </c:pt>
                <c:pt idx="40">
                  <c:v>2.9505700000000002E-6</c:v>
                </c:pt>
                <c:pt idx="41">
                  <c:v>2.92129E-6</c:v>
                </c:pt>
                <c:pt idx="42">
                  <c:v>2.8922999999999998E-6</c:v>
                </c:pt>
                <c:pt idx="43">
                  <c:v>2.8635900000000001E-6</c:v>
                </c:pt>
                <c:pt idx="44">
                  <c:v>2.83517E-6</c:v>
                </c:pt>
                <c:pt idx="45">
                  <c:v>2.80703E-6</c:v>
                </c:pt>
                <c:pt idx="46">
                  <c:v>2.77917E-6</c:v>
                </c:pt>
                <c:pt idx="47">
                  <c:v>2.7515900000000002E-6</c:v>
                </c:pt>
                <c:pt idx="48">
                  <c:v>2.7242800000000002E-6</c:v>
                </c:pt>
                <c:pt idx="49">
                  <c:v>2.69724E-6</c:v>
                </c:pt>
                <c:pt idx="50">
                  <c:v>2.6704700000000001E-6</c:v>
                </c:pt>
                <c:pt idx="51">
                  <c:v>2.6439600000000002E-6</c:v>
                </c:pt>
                <c:pt idx="52">
                  <c:v>2.6177200000000001E-6</c:v>
                </c:pt>
                <c:pt idx="53">
                  <c:v>2.5917399999999999E-6</c:v>
                </c:pt>
                <c:pt idx="54">
                  <c:v>2.5660200000000002E-6</c:v>
                </c:pt>
                <c:pt idx="55">
                  <c:v>2.5405500000000002E-6</c:v>
                </c:pt>
                <c:pt idx="56">
                  <c:v>2.5153299999999999E-6</c:v>
                </c:pt>
                <c:pt idx="57">
                  <c:v>2.4903699999999999E-6</c:v>
                </c:pt>
                <c:pt idx="58">
                  <c:v>2.4656499999999998E-6</c:v>
                </c:pt>
                <c:pt idx="59">
                  <c:v>2.4411799999999999E-6</c:v>
                </c:pt>
                <c:pt idx="60">
                  <c:v>2.4169499999999998E-6</c:v>
                </c:pt>
                <c:pt idx="61">
                  <c:v>2.39296E-6</c:v>
                </c:pt>
                <c:pt idx="62">
                  <c:v>2.34006E-6</c:v>
                </c:pt>
              </c:numCache>
            </c:numRef>
          </c:yVal>
          <c:smooth val="0"/>
          <c:extLst>
            <c:ext xmlns:c16="http://schemas.microsoft.com/office/drawing/2014/chart" uri="{C3380CC4-5D6E-409C-BE32-E72D297353CC}">
              <c16:uniqueId val="{00000003-2416-451F-80D8-0263EB459229}"/>
            </c:ext>
          </c:extLst>
        </c:ser>
        <c:ser>
          <c:idx val="4"/>
          <c:order val="4"/>
          <c:tx>
            <c:strRef>
              <c:f>CONC!$F$1</c:f>
              <c:strCache>
                <c:ptCount val="1"/>
                <c:pt idx="0">
                  <c:v>O- </c:v>
                </c:pt>
              </c:strCache>
            </c:strRef>
          </c:tx>
          <c:xVal>
            <c:numRef>
              <c:f>CONC!$A$2:$A$64</c:f>
              <c:numCache>
                <c:formatCode>0.00E+00</c:formatCode>
                <c:ptCount val="63"/>
                <c:pt idx="0">
                  <c:v>0</c:v>
                </c:pt>
                <c:pt idx="1">
                  <c:v>1.2623599999999999</c:v>
                </c:pt>
                <c:pt idx="2">
                  <c:v>2.8906100000000001</c:v>
                </c:pt>
                <c:pt idx="3">
                  <c:v>6.7801200000000001</c:v>
                </c:pt>
                <c:pt idx="4">
                  <c:v>15.714499999999999</c:v>
                </c:pt>
                <c:pt idx="5">
                  <c:v>24.649000000000001</c:v>
                </c:pt>
                <c:pt idx="6">
                  <c:v>33.583399999999997</c:v>
                </c:pt>
                <c:pt idx="7">
                  <c:v>42.517800000000001</c:v>
                </c:pt>
                <c:pt idx="8">
                  <c:v>51.452300000000001</c:v>
                </c:pt>
                <c:pt idx="9">
                  <c:v>60.386699999999998</c:v>
                </c:pt>
                <c:pt idx="10">
                  <c:v>69.321100000000001</c:v>
                </c:pt>
                <c:pt idx="11">
                  <c:v>78.255499999999998</c:v>
                </c:pt>
                <c:pt idx="12">
                  <c:v>87.19</c:v>
                </c:pt>
                <c:pt idx="13">
                  <c:v>96.124399999999994</c:v>
                </c:pt>
                <c:pt idx="14">
                  <c:v>105.059</c:v>
                </c:pt>
                <c:pt idx="15">
                  <c:v>113.99299999999999</c:v>
                </c:pt>
                <c:pt idx="16">
                  <c:v>122.928</c:v>
                </c:pt>
                <c:pt idx="17">
                  <c:v>131.86199999999999</c:v>
                </c:pt>
                <c:pt idx="18">
                  <c:v>140.797</c:v>
                </c:pt>
                <c:pt idx="19">
                  <c:v>149.73099999999999</c:v>
                </c:pt>
                <c:pt idx="20">
                  <c:v>158.66499999999999</c:v>
                </c:pt>
                <c:pt idx="21">
                  <c:v>167.6</c:v>
                </c:pt>
                <c:pt idx="22">
                  <c:v>176.53399999999999</c:v>
                </c:pt>
                <c:pt idx="23">
                  <c:v>185.46899999999999</c:v>
                </c:pt>
                <c:pt idx="24">
                  <c:v>194.40299999999999</c:v>
                </c:pt>
                <c:pt idx="25">
                  <c:v>203.33699999999999</c:v>
                </c:pt>
                <c:pt idx="26">
                  <c:v>212.27199999999999</c:v>
                </c:pt>
                <c:pt idx="27">
                  <c:v>221.20599999999999</c:v>
                </c:pt>
                <c:pt idx="28">
                  <c:v>230.14099999999999</c:v>
                </c:pt>
                <c:pt idx="29">
                  <c:v>239.07499999999999</c:v>
                </c:pt>
                <c:pt idx="30">
                  <c:v>248.01</c:v>
                </c:pt>
                <c:pt idx="31">
                  <c:v>256.94400000000002</c:v>
                </c:pt>
                <c:pt idx="32">
                  <c:v>265.87799999999999</c:v>
                </c:pt>
                <c:pt idx="33">
                  <c:v>274.81299999999999</c:v>
                </c:pt>
                <c:pt idx="34">
                  <c:v>283.74700000000001</c:v>
                </c:pt>
                <c:pt idx="35">
                  <c:v>292.68200000000002</c:v>
                </c:pt>
                <c:pt idx="36">
                  <c:v>301.61599999999999</c:v>
                </c:pt>
                <c:pt idx="37">
                  <c:v>310.55099999999999</c:v>
                </c:pt>
                <c:pt idx="38">
                  <c:v>319.48500000000001</c:v>
                </c:pt>
                <c:pt idx="39">
                  <c:v>328.41899999999998</c:v>
                </c:pt>
                <c:pt idx="40">
                  <c:v>337.35399999999998</c:v>
                </c:pt>
                <c:pt idx="41">
                  <c:v>346.28800000000001</c:v>
                </c:pt>
                <c:pt idx="42">
                  <c:v>355.22300000000001</c:v>
                </c:pt>
                <c:pt idx="43">
                  <c:v>364.15699999999998</c:v>
                </c:pt>
                <c:pt idx="44">
                  <c:v>373.09199999999998</c:v>
                </c:pt>
                <c:pt idx="45">
                  <c:v>382.02600000000001</c:v>
                </c:pt>
                <c:pt idx="46">
                  <c:v>390.96</c:v>
                </c:pt>
                <c:pt idx="47">
                  <c:v>399.89499999999998</c:v>
                </c:pt>
                <c:pt idx="48">
                  <c:v>408.82900000000001</c:v>
                </c:pt>
                <c:pt idx="49">
                  <c:v>417.76400000000001</c:v>
                </c:pt>
                <c:pt idx="50">
                  <c:v>426.69799999999998</c:v>
                </c:pt>
                <c:pt idx="51">
                  <c:v>435.63299999999998</c:v>
                </c:pt>
                <c:pt idx="52">
                  <c:v>444.56700000000001</c:v>
                </c:pt>
                <c:pt idx="53">
                  <c:v>453.50099999999998</c:v>
                </c:pt>
                <c:pt idx="54">
                  <c:v>462.43599999999998</c:v>
                </c:pt>
                <c:pt idx="55">
                  <c:v>471.37</c:v>
                </c:pt>
                <c:pt idx="56">
                  <c:v>480.30500000000001</c:v>
                </c:pt>
                <c:pt idx="57">
                  <c:v>489.23899999999998</c:v>
                </c:pt>
                <c:pt idx="58">
                  <c:v>498.17399999999998</c:v>
                </c:pt>
                <c:pt idx="59">
                  <c:v>507.108</c:v>
                </c:pt>
                <c:pt idx="60">
                  <c:v>516.04200000000003</c:v>
                </c:pt>
                <c:pt idx="61">
                  <c:v>524.97699999999998</c:v>
                </c:pt>
                <c:pt idx="62">
                  <c:v>545</c:v>
                </c:pt>
              </c:numCache>
            </c:numRef>
          </c:xVal>
          <c:yVal>
            <c:numRef>
              <c:f>CONC!$F$2:$F$64</c:f>
              <c:numCache>
                <c:formatCode>0.00E+00</c:formatCode>
                <c:ptCount val="63"/>
                <c:pt idx="0">
                  <c:v>0</c:v>
                </c:pt>
                <c:pt idx="1">
                  <c:v>4.6688400000000001E-19</c:v>
                </c:pt>
                <c:pt idx="2">
                  <c:v>4.6674599999999997E-19</c:v>
                </c:pt>
                <c:pt idx="3">
                  <c:v>4.6637399999999996E-19</c:v>
                </c:pt>
                <c:pt idx="4">
                  <c:v>4.65292E-19</c:v>
                </c:pt>
                <c:pt idx="5">
                  <c:v>4.6391000000000002E-19</c:v>
                </c:pt>
                <c:pt idx="6">
                  <c:v>4.6225499999999995E-19</c:v>
                </c:pt>
                <c:pt idx="7">
                  <c:v>4.6035799999999997E-19</c:v>
                </c:pt>
                <c:pt idx="8">
                  <c:v>4.5825300000000003E-19</c:v>
                </c:pt>
                <c:pt idx="9">
                  <c:v>4.5597499999999999E-19</c:v>
                </c:pt>
                <c:pt idx="10">
                  <c:v>4.5355299999999997E-19</c:v>
                </c:pt>
                <c:pt idx="11">
                  <c:v>4.5101700000000003E-19</c:v>
                </c:pt>
                <c:pt idx="12">
                  <c:v>4.4839000000000003E-19</c:v>
                </c:pt>
                <c:pt idx="13">
                  <c:v>4.45695E-19</c:v>
                </c:pt>
                <c:pt idx="14">
                  <c:v>4.4294800000000003E-19</c:v>
                </c:pt>
                <c:pt idx="15">
                  <c:v>4.4016400000000003E-19</c:v>
                </c:pt>
                <c:pt idx="16">
                  <c:v>4.3735599999999999E-19</c:v>
                </c:pt>
                <c:pt idx="17">
                  <c:v>4.3453300000000005E-19</c:v>
                </c:pt>
                <c:pt idx="18">
                  <c:v>4.31704E-19</c:v>
                </c:pt>
                <c:pt idx="19">
                  <c:v>4.2887500000000001E-19</c:v>
                </c:pt>
                <c:pt idx="20">
                  <c:v>4.2605200000000002E-19</c:v>
                </c:pt>
                <c:pt idx="21">
                  <c:v>4.2323800000000002E-19</c:v>
                </c:pt>
                <c:pt idx="22">
                  <c:v>4.2043699999999999E-19</c:v>
                </c:pt>
                <c:pt idx="23">
                  <c:v>4.1765299999999998E-19</c:v>
                </c:pt>
                <c:pt idx="24">
                  <c:v>4.14886E-19</c:v>
                </c:pt>
                <c:pt idx="25">
                  <c:v>4.1213999999999998E-19</c:v>
                </c:pt>
                <c:pt idx="26">
                  <c:v>4.0941400000000002E-19</c:v>
                </c:pt>
                <c:pt idx="27">
                  <c:v>4.0671199999999999E-19</c:v>
                </c:pt>
                <c:pt idx="28">
                  <c:v>4.04032E-19</c:v>
                </c:pt>
                <c:pt idx="29">
                  <c:v>4.01377E-19</c:v>
                </c:pt>
                <c:pt idx="30">
                  <c:v>3.9874600000000002E-19</c:v>
                </c:pt>
                <c:pt idx="31">
                  <c:v>3.9614100000000002E-19</c:v>
                </c:pt>
                <c:pt idx="32">
                  <c:v>3.9356E-19</c:v>
                </c:pt>
                <c:pt idx="33">
                  <c:v>3.9100499999999999E-19</c:v>
                </c:pt>
                <c:pt idx="34">
                  <c:v>3.8847500000000002E-19</c:v>
                </c:pt>
                <c:pt idx="35">
                  <c:v>3.85972E-19</c:v>
                </c:pt>
                <c:pt idx="36">
                  <c:v>3.8349300000000002E-19</c:v>
                </c:pt>
                <c:pt idx="37">
                  <c:v>3.8104000000000001E-19</c:v>
                </c:pt>
                <c:pt idx="38">
                  <c:v>3.7861300000000001E-19</c:v>
                </c:pt>
                <c:pt idx="39">
                  <c:v>3.7621099999999999E-19</c:v>
                </c:pt>
                <c:pt idx="40">
                  <c:v>3.7383499999999999E-19</c:v>
                </c:pt>
                <c:pt idx="41">
                  <c:v>3.7148400000000002E-19</c:v>
                </c:pt>
                <c:pt idx="42">
                  <c:v>3.6915699999999998E-19</c:v>
                </c:pt>
                <c:pt idx="43">
                  <c:v>3.66856E-19</c:v>
                </c:pt>
                <c:pt idx="44">
                  <c:v>3.6457900000000002E-19</c:v>
                </c:pt>
                <c:pt idx="45">
                  <c:v>3.6232600000000001E-19</c:v>
                </c:pt>
                <c:pt idx="46">
                  <c:v>3.6009799999999998E-19</c:v>
                </c:pt>
                <c:pt idx="47">
                  <c:v>3.5789399999999998E-19</c:v>
                </c:pt>
                <c:pt idx="48">
                  <c:v>3.5571400000000001E-19</c:v>
                </c:pt>
                <c:pt idx="49">
                  <c:v>3.5355699999999999E-19</c:v>
                </c:pt>
                <c:pt idx="50">
                  <c:v>3.51424E-19</c:v>
                </c:pt>
                <c:pt idx="51">
                  <c:v>3.49313E-19</c:v>
                </c:pt>
                <c:pt idx="52">
                  <c:v>3.4722599999999999E-19</c:v>
                </c:pt>
                <c:pt idx="53">
                  <c:v>3.4516200000000001E-19</c:v>
                </c:pt>
                <c:pt idx="54">
                  <c:v>3.4311999999999999E-19</c:v>
                </c:pt>
                <c:pt idx="55">
                  <c:v>3.4110000000000001E-19</c:v>
                </c:pt>
                <c:pt idx="56">
                  <c:v>3.3910300000000002E-19</c:v>
                </c:pt>
                <c:pt idx="57">
                  <c:v>3.3712699999999998E-19</c:v>
                </c:pt>
                <c:pt idx="58">
                  <c:v>3.3517299999999999E-19</c:v>
                </c:pt>
                <c:pt idx="59">
                  <c:v>3.33241E-19</c:v>
                </c:pt>
                <c:pt idx="60">
                  <c:v>3.3133000000000001E-19</c:v>
                </c:pt>
                <c:pt idx="61">
                  <c:v>3.2943899999999998E-19</c:v>
                </c:pt>
                <c:pt idx="62">
                  <c:v>3.2527800000000002E-19</c:v>
                </c:pt>
              </c:numCache>
            </c:numRef>
          </c:yVal>
          <c:smooth val="0"/>
          <c:extLst>
            <c:ext xmlns:c16="http://schemas.microsoft.com/office/drawing/2014/chart" uri="{C3380CC4-5D6E-409C-BE32-E72D297353CC}">
              <c16:uniqueId val="{00000004-2416-451F-80D8-0263EB459229}"/>
            </c:ext>
          </c:extLst>
        </c:ser>
        <c:ser>
          <c:idx val="5"/>
          <c:order val="5"/>
          <c:tx>
            <c:strRef>
              <c:f>CONC!$G$1</c:f>
              <c:strCache>
                <c:ptCount val="1"/>
                <c:pt idx="0">
                  <c:v>Cl- </c:v>
                </c:pt>
              </c:strCache>
            </c:strRef>
          </c:tx>
          <c:xVal>
            <c:numRef>
              <c:f>CONC!$A$2:$A$64</c:f>
              <c:numCache>
                <c:formatCode>0.00E+00</c:formatCode>
                <c:ptCount val="63"/>
                <c:pt idx="0">
                  <c:v>0</c:v>
                </c:pt>
                <c:pt idx="1">
                  <c:v>1.2623599999999999</c:v>
                </c:pt>
                <c:pt idx="2">
                  <c:v>2.8906100000000001</c:v>
                </c:pt>
                <c:pt idx="3">
                  <c:v>6.7801200000000001</c:v>
                </c:pt>
                <c:pt idx="4">
                  <c:v>15.714499999999999</c:v>
                </c:pt>
                <c:pt idx="5">
                  <c:v>24.649000000000001</c:v>
                </c:pt>
                <c:pt idx="6">
                  <c:v>33.583399999999997</c:v>
                </c:pt>
                <c:pt idx="7">
                  <c:v>42.517800000000001</c:v>
                </c:pt>
                <c:pt idx="8">
                  <c:v>51.452300000000001</c:v>
                </c:pt>
                <c:pt idx="9">
                  <c:v>60.386699999999998</c:v>
                </c:pt>
                <c:pt idx="10">
                  <c:v>69.321100000000001</c:v>
                </c:pt>
                <c:pt idx="11">
                  <c:v>78.255499999999998</c:v>
                </c:pt>
                <c:pt idx="12">
                  <c:v>87.19</c:v>
                </c:pt>
                <c:pt idx="13">
                  <c:v>96.124399999999994</c:v>
                </c:pt>
                <c:pt idx="14">
                  <c:v>105.059</c:v>
                </c:pt>
                <c:pt idx="15">
                  <c:v>113.99299999999999</c:v>
                </c:pt>
                <c:pt idx="16">
                  <c:v>122.928</c:v>
                </c:pt>
                <c:pt idx="17">
                  <c:v>131.86199999999999</c:v>
                </c:pt>
                <c:pt idx="18">
                  <c:v>140.797</c:v>
                </c:pt>
                <c:pt idx="19">
                  <c:v>149.73099999999999</c:v>
                </c:pt>
                <c:pt idx="20">
                  <c:v>158.66499999999999</c:v>
                </c:pt>
                <c:pt idx="21">
                  <c:v>167.6</c:v>
                </c:pt>
                <c:pt idx="22">
                  <c:v>176.53399999999999</c:v>
                </c:pt>
                <c:pt idx="23">
                  <c:v>185.46899999999999</c:v>
                </c:pt>
                <c:pt idx="24">
                  <c:v>194.40299999999999</c:v>
                </c:pt>
                <c:pt idx="25">
                  <c:v>203.33699999999999</c:v>
                </c:pt>
                <c:pt idx="26">
                  <c:v>212.27199999999999</c:v>
                </c:pt>
                <c:pt idx="27">
                  <c:v>221.20599999999999</c:v>
                </c:pt>
                <c:pt idx="28">
                  <c:v>230.14099999999999</c:v>
                </c:pt>
                <c:pt idx="29">
                  <c:v>239.07499999999999</c:v>
                </c:pt>
                <c:pt idx="30">
                  <c:v>248.01</c:v>
                </c:pt>
                <c:pt idx="31">
                  <c:v>256.94400000000002</c:v>
                </c:pt>
                <c:pt idx="32">
                  <c:v>265.87799999999999</c:v>
                </c:pt>
                <c:pt idx="33">
                  <c:v>274.81299999999999</c:v>
                </c:pt>
                <c:pt idx="34">
                  <c:v>283.74700000000001</c:v>
                </c:pt>
                <c:pt idx="35">
                  <c:v>292.68200000000002</c:v>
                </c:pt>
                <c:pt idx="36">
                  <c:v>301.61599999999999</c:v>
                </c:pt>
                <c:pt idx="37">
                  <c:v>310.55099999999999</c:v>
                </c:pt>
                <c:pt idx="38">
                  <c:v>319.48500000000001</c:v>
                </c:pt>
                <c:pt idx="39">
                  <c:v>328.41899999999998</c:v>
                </c:pt>
                <c:pt idx="40">
                  <c:v>337.35399999999998</c:v>
                </c:pt>
                <c:pt idx="41">
                  <c:v>346.28800000000001</c:v>
                </c:pt>
                <c:pt idx="42">
                  <c:v>355.22300000000001</c:v>
                </c:pt>
                <c:pt idx="43">
                  <c:v>364.15699999999998</c:v>
                </c:pt>
                <c:pt idx="44">
                  <c:v>373.09199999999998</c:v>
                </c:pt>
                <c:pt idx="45">
                  <c:v>382.02600000000001</c:v>
                </c:pt>
                <c:pt idx="46">
                  <c:v>390.96</c:v>
                </c:pt>
                <c:pt idx="47">
                  <c:v>399.89499999999998</c:v>
                </c:pt>
                <c:pt idx="48">
                  <c:v>408.82900000000001</c:v>
                </c:pt>
                <c:pt idx="49">
                  <c:v>417.76400000000001</c:v>
                </c:pt>
                <c:pt idx="50">
                  <c:v>426.69799999999998</c:v>
                </c:pt>
                <c:pt idx="51">
                  <c:v>435.63299999999998</c:v>
                </c:pt>
                <c:pt idx="52">
                  <c:v>444.56700000000001</c:v>
                </c:pt>
                <c:pt idx="53">
                  <c:v>453.50099999999998</c:v>
                </c:pt>
                <c:pt idx="54">
                  <c:v>462.43599999999998</c:v>
                </c:pt>
                <c:pt idx="55">
                  <c:v>471.37</c:v>
                </c:pt>
                <c:pt idx="56">
                  <c:v>480.30500000000001</c:v>
                </c:pt>
                <c:pt idx="57">
                  <c:v>489.23899999999998</c:v>
                </c:pt>
                <c:pt idx="58">
                  <c:v>498.17399999999998</c:v>
                </c:pt>
                <c:pt idx="59">
                  <c:v>507.108</c:v>
                </c:pt>
                <c:pt idx="60">
                  <c:v>516.04200000000003</c:v>
                </c:pt>
                <c:pt idx="61">
                  <c:v>524.97699999999998</c:v>
                </c:pt>
                <c:pt idx="62">
                  <c:v>545</c:v>
                </c:pt>
              </c:numCache>
            </c:numRef>
          </c:xVal>
          <c:yVal>
            <c:numRef>
              <c:f>CONC!$G$2:$G$64</c:f>
              <c:numCache>
                <c:formatCode>0.00E+00</c:formatCode>
                <c:ptCount val="63"/>
                <c:pt idx="0">
                  <c:v>2.4360000000000001E-4</c:v>
                </c:pt>
                <c:pt idx="1">
                  <c:v>2.4374499999999999E-4</c:v>
                </c:pt>
                <c:pt idx="2">
                  <c:v>2.4393099999999999E-4</c:v>
                </c:pt>
                <c:pt idx="3">
                  <c:v>2.4437500000000002E-4</c:v>
                </c:pt>
                <c:pt idx="4">
                  <c:v>2.4539100000000002E-4</c:v>
                </c:pt>
                <c:pt idx="5">
                  <c:v>2.46402E-4</c:v>
                </c:pt>
                <c:pt idx="6">
                  <c:v>2.4740599999999998E-4</c:v>
                </c:pt>
                <c:pt idx="7">
                  <c:v>2.4840399999999998E-4</c:v>
                </c:pt>
                <c:pt idx="8">
                  <c:v>2.4939500000000002E-4</c:v>
                </c:pt>
                <c:pt idx="9">
                  <c:v>2.5037799999999999E-4</c:v>
                </c:pt>
                <c:pt idx="10">
                  <c:v>2.5135400000000002E-4</c:v>
                </c:pt>
                <c:pt idx="11">
                  <c:v>2.5232E-4</c:v>
                </c:pt>
                <c:pt idx="12">
                  <c:v>2.5327900000000003E-4</c:v>
                </c:pt>
                <c:pt idx="13">
                  <c:v>2.5422800000000001E-4</c:v>
                </c:pt>
                <c:pt idx="14">
                  <c:v>2.5516900000000002E-4</c:v>
                </c:pt>
                <c:pt idx="15">
                  <c:v>2.5610100000000001E-4</c:v>
                </c:pt>
                <c:pt idx="16">
                  <c:v>2.5702500000000003E-4</c:v>
                </c:pt>
                <c:pt idx="17">
                  <c:v>2.57939E-4</c:v>
                </c:pt>
                <c:pt idx="18">
                  <c:v>2.5884500000000001E-4</c:v>
                </c:pt>
                <c:pt idx="19">
                  <c:v>2.5974199999999998E-4</c:v>
                </c:pt>
                <c:pt idx="20">
                  <c:v>2.6062999999999998E-4</c:v>
                </c:pt>
                <c:pt idx="21">
                  <c:v>2.6151000000000001E-4</c:v>
                </c:pt>
                <c:pt idx="22">
                  <c:v>2.6238100000000001E-4</c:v>
                </c:pt>
                <c:pt idx="23">
                  <c:v>2.6324299999999997E-4</c:v>
                </c:pt>
                <c:pt idx="24">
                  <c:v>2.6409699999999998E-4</c:v>
                </c:pt>
                <c:pt idx="25">
                  <c:v>2.6494300000000001E-4</c:v>
                </c:pt>
                <c:pt idx="26">
                  <c:v>2.6578000000000002E-4</c:v>
                </c:pt>
                <c:pt idx="27">
                  <c:v>2.6660900000000001E-4</c:v>
                </c:pt>
                <c:pt idx="28">
                  <c:v>2.6742999999999998E-4</c:v>
                </c:pt>
                <c:pt idx="29">
                  <c:v>2.6824200000000002E-4</c:v>
                </c:pt>
                <c:pt idx="30">
                  <c:v>2.6904700000000001E-4</c:v>
                </c:pt>
                <c:pt idx="31">
                  <c:v>2.6984399999999999E-4</c:v>
                </c:pt>
                <c:pt idx="32">
                  <c:v>2.7063199999999998E-4</c:v>
                </c:pt>
                <c:pt idx="33">
                  <c:v>2.7141300000000003E-4</c:v>
                </c:pt>
                <c:pt idx="34">
                  <c:v>2.72186E-4</c:v>
                </c:pt>
                <c:pt idx="35">
                  <c:v>2.7295200000000003E-4</c:v>
                </c:pt>
                <c:pt idx="36">
                  <c:v>2.7370999999999998E-4</c:v>
                </c:pt>
                <c:pt idx="37">
                  <c:v>2.7446000000000003E-4</c:v>
                </c:pt>
                <c:pt idx="38">
                  <c:v>2.7520300000000001E-4</c:v>
                </c:pt>
                <c:pt idx="39">
                  <c:v>2.75939E-4</c:v>
                </c:pt>
                <c:pt idx="40">
                  <c:v>2.7666700000000003E-4</c:v>
                </c:pt>
                <c:pt idx="41">
                  <c:v>2.7738799999999999E-4</c:v>
                </c:pt>
                <c:pt idx="42">
                  <c:v>2.7810200000000001E-4</c:v>
                </c:pt>
                <c:pt idx="43">
                  <c:v>2.7880899999999998E-4</c:v>
                </c:pt>
                <c:pt idx="44">
                  <c:v>2.79509E-4</c:v>
                </c:pt>
                <c:pt idx="45">
                  <c:v>2.8020200000000001E-4</c:v>
                </c:pt>
                <c:pt idx="46">
                  <c:v>2.8088800000000003E-4</c:v>
                </c:pt>
                <c:pt idx="47">
                  <c:v>2.8156699999999998E-4</c:v>
                </c:pt>
                <c:pt idx="48">
                  <c:v>2.8224000000000001E-4</c:v>
                </c:pt>
                <c:pt idx="49">
                  <c:v>2.8290599999999998E-4</c:v>
                </c:pt>
                <c:pt idx="50">
                  <c:v>2.83565E-4</c:v>
                </c:pt>
                <c:pt idx="51">
                  <c:v>2.8421799999999998E-4</c:v>
                </c:pt>
                <c:pt idx="52">
                  <c:v>2.8486400000000002E-4</c:v>
                </c:pt>
                <c:pt idx="53">
                  <c:v>2.8550400000000001E-4</c:v>
                </c:pt>
                <c:pt idx="54">
                  <c:v>2.86137E-4</c:v>
                </c:pt>
                <c:pt idx="55">
                  <c:v>2.8676400000000001E-4</c:v>
                </c:pt>
                <c:pt idx="56">
                  <c:v>2.8738499999999997E-4</c:v>
                </c:pt>
                <c:pt idx="57">
                  <c:v>2.8800000000000001E-4</c:v>
                </c:pt>
                <c:pt idx="58">
                  <c:v>2.8860799999999999E-4</c:v>
                </c:pt>
                <c:pt idx="59">
                  <c:v>2.8921099999999999E-4</c:v>
                </c:pt>
                <c:pt idx="60">
                  <c:v>2.8980800000000001E-4</c:v>
                </c:pt>
                <c:pt idx="61">
                  <c:v>2.9039799999999998E-4</c:v>
                </c:pt>
                <c:pt idx="62">
                  <c:v>2.91701E-4</c:v>
                </c:pt>
              </c:numCache>
            </c:numRef>
          </c:yVal>
          <c:smooth val="0"/>
          <c:extLst>
            <c:ext xmlns:c16="http://schemas.microsoft.com/office/drawing/2014/chart" uri="{C3380CC4-5D6E-409C-BE32-E72D297353CC}">
              <c16:uniqueId val="{00000005-2416-451F-80D8-0263EB459229}"/>
            </c:ext>
          </c:extLst>
        </c:ser>
        <c:ser>
          <c:idx val="6"/>
          <c:order val="6"/>
          <c:tx>
            <c:strRef>
              <c:f>CONC!$H$1</c:f>
              <c:strCache>
                <c:ptCount val="1"/>
                <c:pt idx="0">
                  <c:v>Cl2- </c:v>
                </c:pt>
              </c:strCache>
            </c:strRef>
          </c:tx>
          <c:xVal>
            <c:numRef>
              <c:f>CONC!$A$2:$A$64</c:f>
              <c:numCache>
                <c:formatCode>0.00E+00</c:formatCode>
                <c:ptCount val="63"/>
                <c:pt idx="0">
                  <c:v>0</c:v>
                </c:pt>
                <c:pt idx="1">
                  <c:v>1.2623599999999999</c:v>
                </c:pt>
                <c:pt idx="2">
                  <c:v>2.8906100000000001</c:v>
                </c:pt>
                <c:pt idx="3">
                  <c:v>6.7801200000000001</c:v>
                </c:pt>
                <c:pt idx="4">
                  <c:v>15.714499999999999</c:v>
                </c:pt>
                <c:pt idx="5">
                  <c:v>24.649000000000001</c:v>
                </c:pt>
                <c:pt idx="6">
                  <c:v>33.583399999999997</c:v>
                </c:pt>
                <c:pt idx="7">
                  <c:v>42.517800000000001</c:v>
                </c:pt>
                <c:pt idx="8">
                  <c:v>51.452300000000001</c:v>
                </c:pt>
                <c:pt idx="9">
                  <c:v>60.386699999999998</c:v>
                </c:pt>
                <c:pt idx="10">
                  <c:v>69.321100000000001</c:v>
                </c:pt>
                <c:pt idx="11">
                  <c:v>78.255499999999998</c:v>
                </c:pt>
                <c:pt idx="12">
                  <c:v>87.19</c:v>
                </c:pt>
                <c:pt idx="13">
                  <c:v>96.124399999999994</c:v>
                </c:pt>
                <c:pt idx="14">
                  <c:v>105.059</c:v>
                </c:pt>
                <c:pt idx="15">
                  <c:v>113.99299999999999</c:v>
                </c:pt>
                <c:pt idx="16">
                  <c:v>122.928</c:v>
                </c:pt>
                <c:pt idx="17">
                  <c:v>131.86199999999999</c:v>
                </c:pt>
                <c:pt idx="18">
                  <c:v>140.797</c:v>
                </c:pt>
                <c:pt idx="19">
                  <c:v>149.73099999999999</c:v>
                </c:pt>
                <c:pt idx="20">
                  <c:v>158.66499999999999</c:v>
                </c:pt>
                <c:pt idx="21">
                  <c:v>167.6</c:v>
                </c:pt>
                <c:pt idx="22">
                  <c:v>176.53399999999999</c:v>
                </c:pt>
                <c:pt idx="23">
                  <c:v>185.46899999999999</c:v>
                </c:pt>
                <c:pt idx="24">
                  <c:v>194.40299999999999</c:v>
                </c:pt>
                <c:pt idx="25">
                  <c:v>203.33699999999999</c:v>
                </c:pt>
                <c:pt idx="26">
                  <c:v>212.27199999999999</c:v>
                </c:pt>
                <c:pt idx="27">
                  <c:v>221.20599999999999</c:v>
                </c:pt>
                <c:pt idx="28">
                  <c:v>230.14099999999999</c:v>
                </c:pt>
                <c:pt idx="29">
                  <c:v>239.07499999999999</c:v>
                </c:pt>
                <c:pt idx="30">
                  <c:v>248.01</c:v>
                </c:pt>
                <c:pt idx="31">
                  <c:v>256.94400000000002</c:v>
                </c:pt>
                <c:pt idx="32">
                  <c:v>265.87799999999999</c:v>
                </c:pt>
                <c:pt idx="33">
                  <c:v>274.81299999999999</c:v>
                </c:pt>
                <c:pt idx="34">
                  <c:v>283.74700000000001</c:v>
                </c:pt>
                <c:pt idx="35">
                  <c:v>292.68200000000002</c:v>
                </c:pt>
                <c:pt idx="36">
                  <c:v>301.61599999999999</c:v>
                </c:pt>
                <c:pt idx="37">
                  <c:v>310.55099999999999</c:v>
                </c:pt>
                <c:pt idx="38">
                  <c:v>319.48500000000001</c:v>
                </c:pt>
                <c:pt idx="39">
                  <c:v>328.41899999999998</c:v>
                </c:pt>
                <c:pt idx="40">
                  <c:v>337.35399999999998</c:v>
                </c:pt>
                <c:pt idx="41">
                  <c:v>346.28800000000001</c:v>
                </c:pt>
                <c:pt idx="42">
                  <c:v>355.22300000000001</c:v>
                </c:pt>
                <c:pt idx="43">
                  <c:v>364.15699999999998</c:v>
                </c:pt>
                <c:pt idx="44">
                  <c:v>373.09199999999998</c:v>
                </c:pt>
                <c:pt idx="45">
                  <c:v>382.02600000000001</c:v>
                </c:pt>
                <c:pt idx="46">
                  <c:v>390.96</c:v>
                </c:pt>
                <c:pt idx="47">
                  <c:v>399.89499999999998</c:v>
                </c:pt>
                <c:pt idx="48">
                  <c:v>408.82900000000001</c:v>
                </c:pt>
                <c:pt idx="49">
                  <c:v>417.76400000000001</c:v>
                </c:pt>
                <c:pt idx="50">
                  <c:v>426.69799999999998</c:v>
                </c:pt>
                <c:pt idx="51">
                  <c:v>435.63299999999998</c:v>
                </c:pt>
                <c:pt idx="52">
                  <c:v>444.56700000000001</c:v>
                </c:pt>
                <c:pt idx="53">
                  <c:v>453.50099999999998</c:v>
                </c:pt>
                <c:pt idx="54">
                  <c:v>462.43599999999998</c:v>
                </c:pt>
                <c:pt idx="55">
                  <c:v>471.37</c:v>
                </c:pt>
                <c:pt idx="56">
                  <c:v>480.30500000000001</c:v>
                </c:pt>
                <c:pt idx="57">
                  <c:v>489.23899999999998</c:v>
                </c:pt>
                <c:pt idx="58">
                  <c:v>498.17399999999998</c:v>
                </c:pt>
                <c:pt idx="59">
                  <c:v>507.108</c:v>
                </c:pt>
                <c:pt idx="60">
                  <c:v>516.04200000000003</c:v>
                </c:pt>
                <c:pt idx="61">
                  <c:v>524.97699999999998</c:v>
                </c:pt>
                <c:pt idx="62">
                  <c:v>545</c:v>
                </c:pt>
              </c:numCache>
            </c:numRef>
          </c:xVal>
          <c:yVal>
            <c:numRef>
              <c:f>CONC!$H$2:$H$64</c:f>
              <c:numCache>
                <c:formatCode>0.00E+00</c:formatCode>
                <c:ptCount val="63"/>
                <c:pt idx="0">
                  <c:v>0</c:v>
                </c:pt>
                <c:pt idx="1">
                  <c:v>1.8895199999999998E-12</c:v>
                </c:pt>
                <c:pt idx="2">
                  <c:v>1.89077E-12</c:v>
                </c:pt>
                <c:pt idx="3">
                  <c:v>1.8936200000000002E-12</c:v>
                </c:pt>
                <c:pt idx="4">
                  <c:v>1.8993300000000001E-12</c:v>
                </c:pt>
                <c:pt idx="5">
                  <c:v>1.9040299999999999E-12</c:v>
                </c:pt>
                <c:pt idx="6">
                  <c:v>1.90787E-12</c:v>
                </c:pt>
                <c:pt idx="7">
                  <c:v>1.91098E-12</c:v>
                </c:pt>
                <c:pt idx="8">
                  <c:v>1.91348E-12</c:v>
                </c:pt>
                <c:pt idx="9">
                  <c:v>1.91546E-12</c:v>
                </c:pt>
                <c:pt idx="10">
                  <c:v>1.9170100000000001E-12</c:v>
                </c:pt>
                <c:pt idx="11">
                  <c:v>1.9181799999999998E-12</c:v>
                </c:pt>
                <c:pt idx="12">
                  <c:v>1.9190300000000002E-12</c:v>
                </c:pt>
                <c:pt idx="13">
                  <c:v>1.9196E-12</c:v>
                </c:pt>
                <c:pt idx="14">
                  <c:v>1.9199200000000002E-12</c:v>
                </c:pt>
                <c:pt idx="15">
                  <c:v>1.9200299999999998E-12</c:v>
                </c:pt>
                <c:pt idx="16">
                  <c:v>1.9199299999999999E-12</c:v>
                </c:pt>
                <c:pt idx="17">
                  <c:v>1.9196499999999998E-12</c:v>
                </c:pt>
                <c:pt idx="18">
                  <c:v>1.91919E-12</c:v>
                </c:pt>
                <c:pt idx="19">
                  <c:v>1.9185800000000001E-12</c:v>
                </c:pt>
                <c:pt idx="20">
                  <c:v>1.9178099999999999E-12</c:v>
                </c:pt>
                <c:pt idx="21">
                  <c:v>1.9169E-12</c:v>
                </c:pt>
                <c:pt idx="22">
                  <c:v>1.91584E-12</c:v>
                </c:pt>
                <c:pt idx="23">
                  <c:v>1.9146500000000001E-12</c:v>
                </c:pt>
                <c:pt idx="24">
                  <c:v>1.9133200000000002E-12</c:v>
                </c:pt>
                <c:pt idx="25">
                  <c:v>1.9118599999999999E-12</c:v>
                </c:pt>
                <c:pt idx="26">
                  <c:v>1.9102799999999998E-12</c:v>
                </c:pt>
                <c:pt idx="27">
                  <c:v>1.9085699999999998E-12</c:v>
                </c:pt>
                <c:pt idx="28">
                  <c:v>1.90674E-12</c:v>
                </c:pt>
                <c:pt idx="29">
                  <c:v>1.90479E-12</c:v>
                </c:pt>
                <c:pt idx="30">
                  <c:v>1.9027200000000002E-12</c:v>
                </c:pt>
                <c:pt idx="31">
                  <c:v>1.9005300000000002E-12</c:v>
                </c:pt>
                <c:pt idx="32">
                  <c:v>1.8982300000000001E-12</c:v>
                </c:pt>
                <c:pt idx="33">
                  <c:v>1.8958100000000002E-12</c:v>
                </c:pt>
                <c:pt idx="34">
                  <c:v>1.8932800000000002E-12</c:v>
                </c:pt>
                <c:pt idx="35">
                  <c:v>1.8906400000000001E-12</c:v>
                </c:pt>
                <c:pt idx="36">
                  <c:v>1.8879000000000001E-12</c:v>
                </c:pt>
                <c:pt idx="37">
                  <c:v>1.8850399999999998E-12</c:v>
                </c:pt>
                <c:pt idx="38">
                  <c:v>1.88208E-12</c:v>
                </c:pt>
                <c:pt idx="39">
                  <c:v>1.8790199999999998E-12</c:v>
                </c:pt>
                <c:pt idx="40">
                  <c:v>1.8758499999999999E-12</c:v>
                </c:pt>
                <c:pt idx="41">
                  <c:v>1.8725800000000001E-12</c:v>
                </c:pt>
                <c:pt idx="42">
                  <c:v>1.8692099999999999E-12</c:v>
                </c:pt>
                <c:pt idx="43">
                  <c:v>1.8657400000000001E-12</c:v>
                </c:pt>
                <c:pt idx="44">
                  <c:v>1.86218E-12</c:v>
                </c:pt>
                <c:pt idx="45">
                  <c:v>1.85852E-12</c:v>
                </c:pt>
                <c:pt idx="46">
                  <c:v>1.8547600000000001E-12</c:v>
                </c:pt>
                <c:pt idx="47">
                  <c:v>1.85092E-12</c:v>
                </c:pt>
                <c:pt idx="48">
                  <c:v>1.8469799999999999E-12</c:v>
                </c:pt>
                <c:pt idx="49">
                  <c:v>1.8429499999999999E-12</c:v>
                </c:pt>
                <c:pt idx="50">
                  <c:v>1.8388300000000002E-12</c:v>
                </c:pt>
                <c:pt idx="51">
                  <c:v>1.8346200000000001E-12</c:v>
                </c:pt>
                <c:pt idx="52">
                  <c:v>1.8303299999999999E-12</c:v>
                </c:pt>
                <c:pt idx="53">
                  <c:v>1.82596E-12</c:v>
                </c:pt>
                <c:pt idx="54">
                  <c:v>1.8214999999999999E-12</c:v>
                </c:pt>
                <c:pt idx="55">
                  <c:v>1.81695E-12</c:v>
                </c:pt>
                <c:pt idx="56">
                  <c:v>1.81233E-12</c:v>
                </c:pt>
                <c:pt idx="57">
                  <c:v>1.80763E-12</c:v>
                </c:pt>
                <c:pt idx="58">
                  <c:v>1.8028499999999999E-12</c:v>
                </c:pt>
                <c:pt idx="59">
                  <c:v>1.7979900000000001E-12</c:v>
                </c:pt>
                <c:pt idx="60">
                  <c:v>1.79306E-12</c:v>
                </c:pt>
                <c:pt idx="61">
                  <c:v>1.78805E-12</c:v>
                </c:pt>
                <c:pt idx="62">
                  <c:v>1.77657E-12</c:v>
                </c:pt>
              </c:numCache>
            </c:numRef>
          </c:yVal>
          <c:smooth val="0"/>
          <c:extLst>
            <c:ext xmlns:c16="http://schemas.microsoft.com/office/drawing/2014/chart" uri="{C3380CC4-5D6E-409C-BE32-E72D297353CC}">
              <c16:uniqueId val="{00000006-2416-451F-80D8-0263EB459229}"/>
            </c:ext>
          </c:extLst>
        </c:ser>
        <c:ser>
          <c:idx val="7"/>
          <c:order val="7"/>
          <c:tx>
            <c:strRef>
              <c:f>CONC!$I$1</c:f>
              <c:strCache>
                <c:ptCount val="1"/>
                <c:pt idx="0">
                  <c:v>ClO </c:v>
                </c:pt>
              </c:strCache>
            </c:strRef>
          </c:tx>
          <c:xVal>
            <c:numRef>
              <c:f>CONC!$A$2:$A$64</c:f>
              <c:numCache>
                <c:formatCode>0.00E+00</c:formatCode>
                <c:ptCount val="63"/>
                <c:pt idx="0">
                  <c:v>0</c:v>
                </c:pt>
                <c:pt idx="1">
                  <c:v>1.2623599999999999</c:v>
                </c:pt>
                <c:pt idx="2">
                  <c:v>2.8906100000000001</c:v>
                </c:pt>
                <c:pt idx="3">
                  <c:v>6.7801200000000001</c:v>
                </c:pt>
                <c:pt idx="4">
                  <c:v>15.714499999999999</c:v>
                </c:pt>
                <c:pt idx="5">
                  <c:v>24.649000000000001</c:v>
                </c:pt>
                <c:pt idx="6">
                  <c:v>33.583399999999997</c:v>
                </c:pt>
                <c:pt idx="7">
                  <c:v>42.517800000000001</c:v>
                </c:pt>
                <c:pt idx="8">
                  <c:v>51.452300000000001</c:v>
                </c:pt>
                <c:pt idx="9">
                  <c:v>60.386699999999998</c:v>
                </c:pt>
                <c:pt idx="10">
                  <c:v>69.321100000000001</c:v>
                </c:pt>
                <c:pt idx="11">
                  <c:v>78.255499999999998</c:v>
                </c:pt>
                <c:pt idx="12">
                  <c:v>87.19</c:v>
                </c:pt>
                <c:pt idx="13">
                  <c:v>96.124399999999994</c:v>
                </c:pt>
                <c:pt idx="14">
                  <c:v>105.059</c:v>
                </c:pt>
                <c:pt idx="15">
                  <c:v>113.99299999999999</c:v>
                </c:pt>
                <c:pt idx="16">
                  <c:v>122.928</c:v>
                </c:pt>
                <c:pt idx="17">
                  <c:v>131.86199999999999</c:v>
                </c:pt>
                <c:pt idx="18">
                  <c:v>140.797</c:v>
                </c:pt>
                <c:pt idx="19">
                  <c:v>149.73099999999999</c:v>
                </c:pt>
                <c:pt idx="20">
                  <c:v>158.66499999999999</c:v>
                </c:pt>
                <c:pt idx="21">
                  <c:v>167.6</c:v>
                </c:pt>
                <c:pt idx="22">
                  <c:v>176.53399999999999</c:v>
                </c:pt>
                <c:pt idx="23">
                  <c:v>185.46899999999999</c:v>
                </c:pt>
                <c:pt idx="24">
                  <c:v>194.40299999999999</c:v>
                </c:pt>
                <c:pt idx="25">
                  <c:v>203.33699999999999</c:v>
                </c:pt>
                <c:pt idx="26">
                  <c:v>212.27199999999999</c:v>
                </c:pt>
                <c:pt idx="27">
                  <c:v>221.20599999999999</c:v>
                </c:pt>
                <c:pt idx="28">
                  <c:v>230.14099999999999</c:v>
                </c:pt>
                <c:pt idx="29">
                  <c:v>239.07499999999999</c:v>
                </c:pt>
                <c:pt idx="30">
                  <c:v>248.01</c:v>
                </c:pt>
                <c:pt idx="31">
                  <c:v>256.94400000000002</c:v>
                </c:pt>
                <c:pt idx="32">
                  <c:v>265.87799999999999</c:v>
                </c:pt>
                <c:pt idx="33">
                  <c:v>274.81299999999999</c:v>
                </c:pt>
                <c:pt idx="34">
                  <c:v>283.74700000000001</c:v>
                </c:pt>
                <c:pt idx="35">
                  <c:v>292.68200000000002</c:v>
                </c:pt>
                <c:pt idx="36">
                  <c:v>301.61599999999999</c:v>
                </c:pt>
                <c:pt idx="37">
                  <c:v>310.55099999999999</c:v>
                </c:pt>
                <c:pt idx="38">
                  <c:v>319.48500000000001</c:v>
                </c:pt>
                <c:pt idx="39">
                  <c:v>328.41899999999998</c:v>
                </c:pt>
                <c:pt idx="40">
                  <c:v>337.35399999999998</c:v>
                </c:pt>
                <c:pt idx="41">
                  <c:v>346.28800000000001</c:v>
                </c:pt>
                <c:pt idx="42">
                  <c:v>355.22300000000001</c:v>
                </c:pt>
                <c:pt idx="43">
                  <c:v>364.15699999999998</c:v>
                </c:pt>
                <c:pt idx="44">
                  <c:v>373.09199999999998</c:v>
                </c:pt>
                <c:pt idx="45">
                  <c:v>382.02600000000001</c:v>
                </c:pt>
                <c:pt idx="46">
                  <c:v>390.96</c:v>
                </c:pt>
                <c:pt idx="47">
                  <c:v>399.89499999999998</c:v>
                </c:pt>
                <c:pt idx="48">
                  <c:v>408.82900000000001</c:v>
                </c:pt>
                <c:pt idx="49">
                  <c:v>417.76400000000001</c:v>
                </c:pt>
                <c:pt idx="50">
                  <c:v>426.69799999999998</c:v>
                </c:pt>
                <c:pt idx="51">
                  <c:v>435.63299999999998</c:v>
                </c:pt>
                <c:pt idx="52">
                  <c:v>444.56700000000001</c:v>
                </c:pt>
                <c:pt idx="53">
                  <c:v>453.50099999999998</c:v>
                </c:pt>
                <c:pt idx="54">
                  <c:v>462.43599999999998</c:v>
                </c:pt>
                <c:pt idx="55">
                  <c:v>471.37</c:v>
                </c:pt>
                <c:pt idx="56">
                  <c:v>480.30500000000001</c:v>
                </c:pt>
                <c:pt idx="57">
                  <c:v>489.23899999999998</c:v>
                </c:pt>
                <c:pt idx="58">
                  <c:v>498.17399999999998</c:v>
                </c:pt>
                <c:pt idx="59">
                  <c:v>507.108</c:v>
                </c:pt>
                <c:pt idx="60">
                  <c:v>516.04200000000003</c:v>
                </c:pt>
                <c:pt idx="61">
                  <c:v>524.97699999999998</c:v>
                </c:pt>
                <c:pt idx="62">
                  <c:v>545</c:v>
                </c:pt>
              </c:numCache>
            </c:numRef>
          </c:xVal>
          <c:yVal>
            <c:numRef>
              <c:f>CONC!$I$2:$I$64</c:f>
              <c:numCache>
                <c:formatCode>0.00E+00</c:formatCode>
                <c:ptCount val="63"/>
                <c:pt idx="0">
                  <c:v>0</c:v>
                </c:pt>
                <c:pt idx="1">
                  <c:v>4.5511700000000001E-9</c:v>
                </c:pt>
                <c:pt idx="2">
                  <c:v>4.55473E-9</c:v>
                </c:pt>
                <c:pt idx="3">
                  <c:v>4.5648200000000004E-9</c:v>
                </c:pt>
                <c:pt idx="4">
                  <c:v>4.5829899999999997E-9</c:v>
                </c:pt>
                <c:pt idx="5">
                  <c:v>4.5947000000000003E-9</c:v>
                </c:pt>
                <c:pt idx="6">
                  <c:v>4.6007200000000002E-9</c:v>
                </c:pt>
                <c:pt idx="7">
                  <c:v>4.6018000000000004E-9</c:v>
                </c:pt>
                <c:pt idx="8">
                  <c:v>4.5986800000000001E-9</c:v>
                </c:pt>
                <c:pt idx="9">
                  <c:v>4.5920500000000001E-9</c:v>
                </c:pt>
                <c:pt idx="10">
                  <c:v>4.5825099999999997E-9</c:v>
                </c:pt>
                <c:pt idx="11">
                  <c:v>4.5705999999999999E-9</c:v>
                </c:pt>
                <c:pt idx="12">
                  <c:v>4.5567499999999996E-9</c:v>
                </c:pt>
                <c:pt idx="13">
                  <c:v>4.5413499999999998E-9</c:v>
                </c:pt>
                <c:pt idx="14">
                  <c:v>4.5247000000000003E-9</c:v>
                </c:pt>
                <c:pt idx="15">
                  <c:v>4.5070600000000004E-9</c:v>
                </c:pt>
                <c:pt idx="16">
                  <c:v>4.48863E-9</c:v>
                </c:pt>
                <c:pt idx="17">
                  <c:v>4.4695899999999997E-9</c:v>
                </c:pt>
                <c:pt idx="18">
                  <c:v>4.4500600000000002E-9</c:v>
                </c:pt>
                <c:pt idx="19">
                  <c:v>4.4301499999999996E-9</c:v>
                </c:pt>
                <c:pt idx="20">
                  <c:v>4.4099599999999999E-9</c:v>
                </c:pt>
                <c:pt idx="21">
                  <c:v>4.3895499999999996E-9</c:v>
                </c:pt>
                <c:pt idx="22">
                  <c:v>4.3689900000000002E-9</c:v>
                </c:pt>
                <c:pt idx="23">
                  <c:v>4.3483199999999997E-9</c:v>
                </c:pt>
                <c:pt idx="24">
                  <c:v>4.3275700000000002E-9</c:v>
                </c:pt>
                <c:pt idx="25">
                  <c:v>4.3067800000000003E-9</c:v>
                </c:pt>
                <c:pt idx="26">
                  <c:v>4.2859799999999997E-9</c:v>
                </c:pt>
                <c:pt idx="27">
                  <c:v>4.2651700000000001E-9</c:v>
                </c:pt>
                <c:pt idx="28">
                  <c:v>4.2443900000000001E-9</c:v>
                </c:pt>
                <c:pt idx="29">
                  <c:v>4.2236500000000004E-9</c:v>
                </c:pt>
                <c:pt idx="30">
                  <c:v>4.2029400000000004E-9</c:v>
                </c:pt>
                <c:pt idx="31">
                  <c:v>4.1823000000000003E-9</c:v>
                </c:pt>
                <c:pt idx="32">
                  <c:v>4.1617099999999997E-9</c:v>
                </c:pt>
                <c:pt idx="33">
                  <c:v>4.1411899999999998E-9</c:v>
                </c:pt>
                <c:pt idx="34">
                  <c:v>4.1207499999999999E-9</c:v>
                </c:pt>
                <c:pt idx="35">
                  <c:v>4.1003799999999999E-9</c:v>
                </c:pt>
                <c:pt idx="36">
                  <c:v>4.0800899999999997E-9</c:v>
                </c:pt>
                <c:pt idx="37">
                  <c:v>4.0598900000000001E-9</c:v>
                </c:pt>
                <c:pt idx="38">
                  <c:v>4.0397700000000004E-9</c:v>
                </c:pt>
                <c:pt idx="39">
                  <c:v>4.0197399999999996E-9</c:v>
                </c:pt>
                <c:pt idx="40">
                  <c:v>3.9998000000000002E-9</c:v>
                </c:pt>
                <c:pt idx="41">
                  <c:v>3.9799499999999997E-9</c:v>
                </c:pt>
                <c:pt idx="42">
                  <c:v>3.9601899999999997E-9</c:v>
                </c:pt>
                <c:pt idx="43">
                  <c:v>3.9405300000000002E-9</c:v>
                </c:pt>
                <c:pt idx="44">
                  <c:v>3.9209499999999998E-9</c:v>
                </c:pt>
                <c:pt idx="45">
                  <c:v>3.9014699999999998E-9</c:v>
                </c:pt>
                <c:pt idx="46">
                  <c:v>3.8820800000000003E-9</c:v>
                </c:pt>
                <c:pt idx="47">
                  <c:v>3.8627899999999996E-9</c:v>
                </c:pt>
                <c:pt idx="48">
                  <c:v>3.8435799999999997E-9</c:v>
                </c:pt>
                <c:pt idx="49">
                  <c:v>3.82448E-9</c:v>
                </c:pt>
                <c:pt idx="50">
                  <c:v>3.8054600000000002E-9</c:v>
                </c:pt>
                <c:pt idx="51">
                  <c:v>3.78654E-9</c:v>
                </c:pt>
                <c:pt idx="52">
                  <c:v>3.7677099999999996E-9</c:v>
                </c:pt>
                <c:pt idx="53">
                  <c:v>3.7489699999999997E-9</c:v>
                </c:pt>
                <c:pt idx="54">
                  <c:v>3.7303200000000004E-9</c:v>
                </c:pt>
                <c:pt idx="55">
                  <c:v>3.7117699999999999E-9</c:v>
                </c:pt>
                <c:pt idx="56">
                  <c:v>3.6933099999999999E-9</c:v>
                </c:pt>
                <c:pt idx="57">
                  <c:v>3.6749400000000001E-9</c:v>
                </c:pt>
                <c:pt idx="58">
                  <c:v>3.6566600000000001E-9</c:v>
                </c:pt>
                <c:pt idx="59">
                  <c:v>3.6384700000000002E-9</c:v>
                </c:pt>
                <c:pt idx="60">
                  <c:v>3.62037E-9</c:v>
                </c:pt>
                <c:pt idx="61">
                  <c:v>3.60236E-9</c:v>
                </c:pt>
                <c:pt idx="62">
                  <c:v>3.5623200000000002E-9</c:v>
                </c:pt>
              </c:numCache>
            </c:numRef>
          </c:yVal>
          <c:smooth val="0"/>
          <c:extLst>
            <c:ext xmlns:c16="http://schemas.microsoft.com/office/drawing/2014/chart" uri="{C3380CC4-5D6E-409C-BE32-E72D297353CC}">
              <c16:uniqueId val="{00000007-2416-451F-80D8-0263EB459229}"/>
            </c:ext>
          </c:extLst>
        </c:ser>
        <c:ser>
          <c:idx val="8"/>
          <c:order val="8"/>
          <c:tx>
            <c:strRef>
              <c:f>CONC!$J$1</c:f>
              <c:strCache>
                <c:ptCount val="1"/>
                <c:pt idx="0">
                  <c:v>ClO3- </c:v>
                </c:pt>
              </c:strCache>
            </c:strRef>
          </c:tx>
          <c:xVal>
            <c:numRef>
              <c:f>CONC!$A$2:$A$64</c:f>
              <c:numCache>
                <c:formatCode>0.00E+00</c:formatCode>
                <c:ptCount val="63"/>
                <c:pt idx="0">
                  <c:v>0</c:v>
                </c:pt>
                <c:pt idx="1">
                  <c:v>1.2623599999999999</c:v>
                </c:pt>
                <c:pt idx="2">
                  <c:v>2.8906100000000001</c:v>
                </c:pt>
                <c:pt idx="3">
                  <c:v>6.7801200000000001</c:v>
                </c:pt>
                <c:pt idx="4">
                  <c:v>15.714499999999999</c:v>
                </c:pt>
                <c:pt idx="5">
                  <c:v>24.649000000000001</c:v>
                </c:pt>
                <c:pt idx="6">
                  <c:v>33.583399999999997</c:v>
                </c:pt>
                <c:pt idx="7">
                  <c:v>42.517800000000001</c:v>
                </c:pt>
                <c:pt idx="8">
                  <c:v>51.452300000000001</c:v>
                </c:pt>
                <c:pt idx="9">
                  <c:v>60.386699999999998</c:v>
                </c:pt>
                <c:pt idx="10">
                  <c:v>69.321100000000001</c:v>
                </c:pt>
                <c:pt idx="11">
                  <c:v>78.255499999999998</c:v>
                </c:pt>
                <c:pt idx="12">
                  <c:v>87.19</c:v>
                </c:pt>
                <c:pt idx="13">
                  <c:v>96.124399999999994</c:v>
                </c:pt>
                <c:pt idx="14">
                  <c:v>105.059</c:v>
                </c:pt>
                <c:pt idx="15">
                  <c:v>113.99299999999999</c:v>
                </c:pt>
                <c:pt idx="16">
                  <c:v>122.928</c:v>
                </c:pt>
                <c:pt idx="17">
                  <c:v>131.86199999999999</c:v>
                </c:pt>
                <c:pt idx="18">
                  <c:v>140.797</c:v>
                </c:pt>
                <c:pt idx="19">
                  <c:v>149.73099999999999</c:v>
                </c:pt>
                <c:pt idx="20">
                  <c:v>158.66499999999999</c:v>
                </c:pt>
                <c:pt idx="21">
                  <c:v>167.6</c:v>
                </c:pt>
                <c:pt idx="22">
                  <c:v>176.53399999999999</c:v>
                </c:pt>
                <c:pt idx="23">
                  <c:v>185.46899999999999</c:v>
                </c:pt>
                <c:pt idx="24">
                  <c:v>194.40299999999999</c:v>
                </c:pt>
                <c:pt idx="25">
                  <c:v>203.33699999999999</c:v>
                </c:pt>
                <c:pt idx="26">
                  <c:v>212.27199999999999</c:v>
                </c:pt>
                <c:pt idx="27">
                  <c:v>221.20599999999999</c:v>
                </c:pt>
                <c:pt idx="28">
                  <c:v>230.14099999999999</c:v>
                </c:pt>
                <c:pt idx="29">
                  <c:v>239.07499999999999</c:v>
                </c:pt>
                <c:pt idx="30">
                  <c:v>248.01</c:v>
                </c:pt>
                <c:pt idx="31">
                  <c:v>256.94400000000002</c:v>
                </c:pt>
                <c:pt idx="32">
                  <c:v>265.87799999999999</c:v>
                </c:pt>
                <c:pt idx="33">
                  <c:v>274.81299999999999</c:v>
                </c:pt>
                <c:pt idx="34">
                  <c:v>283.74700000000001</c:v>
                </c:pt>
                <c:pt idx="35">
                  <c:v>292.68200000000002</c:v>
                </c:pt>
                <c:pt idx="36">
                  <c:v>301.61599999999999</c:v>
                </c:pt>
                <c:pt idx="37">
                  <c:v>310.55099999999999</c:v>
                </c:pt>
                <c:pt idx="38">
                  <c:v>319.48500000000001</c:v>
                </c:pt>
                <c:pt idx="39">
                  <c:v>328.41899999999998</c:v>
                </c:pt>
                <c:pt idx="40">
                  <c:v>337.35399999999998</c:v>
                </c:pt>
                <c:pt idx="41">
                  <c:v>346.28800000000001</c:v>
                </c:pt>
                <c:pt idx="42">
                  <c:v>355.22300000000001</c:v>
                </c:pt>
                <c:pt idx="43">
                  <c:v>364.15699999999998</c:v>
                </c:pt>
                <c:pt idx="44">
                  <c:v>373.09199999999998</c:v>
                </c:pt>
                <c:pt idx="45">
                  <c:v>382.02600000000001</c:v>
                </c:pt>
                <c:pt idx="46">
                  <c:v>390.96</c:v>
                </c:pt>
                <c:pt idx="47">
                  <c:v>399.89499999999998</c:v>
                </c:pt>
                <c:pt idx="48">
                  <c:v>408.82900000000001</c:v>
                </c:pt>
                <c:pt idx="49">
                  <c:v>417.76400000000001</c:v>
                </c:pt>
                <c:pt idx="50">
                  <c:v>426.69799999999998</c:v>
                </c:pt>
                <c:pt idx="51">
                  <c:v>435.63299999999998</c:v>
                </c:pt>
                <c:pt idx="52">
                  <c:v>444.56700000000001</c:v>
                </c:pt>
                <c:pt idx="53">
                  <c:v>453.50099999999998</c:v>
                </c:pt>
                <c:pt idx="54">
                  <c:v>462.43599999999998</c:v>
                </c:pt>
                <c:pt idx="55">
                  <c:v>471.37</c:v>
                </c:pt>
                <c:pt idx="56">
                  <c:v>480.30500000000001</c:v>
                </c:pt>
                <c:pt idx="57">
                  <c:v>489.23899999999998</c:v>
                </c:pt>
                <c:pt idx="58">
                  <c:v>498.17399999999998</c:v>
                </c:pt>
                <c:pt idx="59">
                  <c:v>507.108</c:v>
                </c:pt>
                <c:pt idx="60">
                  <c:v>516.04200000000003</c:v>
                </c:pt>
                <c:pt idx="61">
                  <c:v>524.97699999999998</c:v>
                </c:pt>
                <c:pt idx="62">
                  <c:v>545</c:v>
                </c:pt>
              </c:numCache>
            </c:numRef>
          </c:xVal>
          <c:yVal>
            <c:numRef>
              <c:f>CONC!$J$2:$J$64</c:f>
              <c:numCache>
                <c:formatCode>0.00E+00</c:formatCode>
                <c:ptCount val="63"/>
                <c:pt idx="0">
                  <c:v>2.003E-5</c:v>
                </c:pt>
                <c:pt idx="1">
                  <c:v>2.0066499999999998E-5</c:v>
                </c:pt>
                <c:pt idx="2">
                  <c:v>2.0122000000000001E-5</c:v>
                </c:pt>
                <c:pt idx="3">
                  <c:v>2.0255199999999999E-5</c:v>
                </c:pt>
                <c:pt idx="4">
                  <c:v>2.0562999999999999E-5</c:v>
                </c:pt>
                <c:pt idx="5">
                  <c:v>2.0872900000000001E-5</c:v>
                </c:pt>
                <c:pt idx="6">
                  <c:v>2.1183999999999999E-5</c:v>
                </c:pt>
                <c:pt idx="7">
                  <c:v>2.1495500000000001E-5</c:v>
                </c:pt>
                <c:pt idx="8">
                  <c:v>2.18069E-5</c:v>
                </c:pt>
                <c:pt idx="9">
                  <c:v>2.21177E-5</c:v>
                </c:pt>
                <c:pt idx="10">
                  <c:v>2.2427300000000001E-5</c:v>
                </c:pt>
                <c:pt idx="11">
                  <c:v>2.27356E-5</c:v>
                </c:pt>
                <c:pt idx="12">
                  <c:v>2.3042000000000001E-5</c:v>
                </c:pt>
                <c:pt idx="13">
                  <c:v>2.3346600000000001E-5</c:v>
                </c:pt>
                <c:pt idx="14">
                  <c:v>2.3649E-5</c:v>
                </c:pt>
                <c:pt idx="15">
                  <c:v>2.3949000000000001E-5</c:v>
                </c:pt>
                <c:pt idx="16">
                  <c:v>2.42468E-5</c:v>
                </c:pt>
                <c:pt idx="17">
                  <c:v>2.4542E-5</c:v>
                </c:pt>
                <c:pt idx="18">
                  <c:v>2.4834700000000001E-5</c:v>
                </c:pt>
                <c:pt idx="19">
                  <c:v>2.51248E-5</c:v>
                </c:pt>
                <c:pt idx="20">
                  <c:v>2.5412300000000001E-5</c:v>
                </c:pt>
                <c:pt idx="21">
                  <c:v>2.5697100000000002E-5</c:v>
                </c:pt>
                <c:pt idx="22">
                  <c:v>2.5979400000000001E-5</c:v>
                </c:pt>
                <c:pt idx="23">
                  <c:v>2.62589E-5</c:v>
                </c:pt>
                <c:pt idx="24">
                  <c:v>2.6535800000000001E-5</c:v>
                </c:pt>
                <c:pt idx="25">
                  <c:v>2.6810099999999999E-5</c:v>
                </c:pt>
                <c:pt idx="26">
                  <c:v>2.7081699999999999E-5</c:v>
                </c:pt>
                <c:pt idx="27">
                  <c:v>2.7350699999999999E-5</c:v>
                </c:pt>
                <c:pt idx="28">
                  <c:v>2.76171E-5</c:v>
                </c:pt>
                <c:pt idx="29">
                  <c:v>2.7880899999999999E-5</c:v>
                </c:pt>
                <c:pt idx="30">
                  <c:v>2.81422E-5</c:v>
                </c:pt>
                <c:pt idx="31">
                  <c:v>2.8400800000000001E-5</c:v>
                </c:pt>
                <c:pt idx="32">
                  <c:v>2.8657E-5</c:v>
                </c:pt>
                <c:pt idx="33">
                  <c:v>2.8910600000000001E-5</c:v>
                </c:pt>
                <c:pt idx="34">
                  <c:v>2.9161699999999999E-5</c:v>
                </c:pt>
                <c:pt idx="35">
                  <c:v>2.9410399999999999E-5</c:v>
                </c:pt>
                <c:pt idx="36">
                  <c:v>2.96566E-5</c:v>
                </c:pt>
                <c:pt idx="37">
                  <c:v>2.9900299999999999E-5</c:v>
                </c:pt>
                <c:pt idx="38">
                  <c:v>3.01417E-5</c:v>
                </c:pt>
                <c:pt idx="39">
                  <c:v>3.0380599999999998E-5</c:v>
                </c:pt>
                <c:pt idx="40">
                  <c:v>3.0617200000000002E-5</c:v>
                </c:pt>
                <c:pt idx="41">
                  <c:v>3.0851500000000001E-5</c:v>
                </c:pt>
                <c:pt idx="42">
                  <c:v>3.1083400000000001E-5</c:v>
                </c:pt>
                <c:pt idx="43">
                  <c:v>3.1313099999999997E-5</c:v>
                </c:pt>
                <c:pt idx="44">
                  <c:v>3.1540500000000001E-5</c:v>
                </c:pt>
                <c:pt idx="45">
                  <c:v>3.17656E-5</c:v>
                </c:pt>
                <c:pt idx="46">
                  <c:v>3.19885E-5</c:v>
                </c:pt>
                <c:pt idx="47">
                  <c:v>3.2209100000000003E-5</c:v>
                </c:pt>
                <c:pt idx="48">
                  <c:v>3.2427600000000001E-5</c:v>
                </c:pt>
                <c:pt idx="49">
                  <c:v>3.2643900000000001E-5</c:v>
                </c:pt>
                <c:pt idx="50">
                  <c:v>3.2858100000000003E-5</c:v>
                </c:pt>
                <c:pt idx="51">
                  <c:v>3.3070200000000001E-5</c:v>
                </c:pt>
                <c:pt idx="52">
                  <c:v>3.32801E-5</c:v>
                </c:pt>
                <c:pt idx="53">
                  <c:v>3.3488000000000002E-5</c:v>
                </c:pt>
                <c:pt idx="54">
                  <c:v>3.3693799999999999E-5</c:v>
                </c:pt>
                <c:pt idx="55">
                  <c:v>3.3897499999999999E-5</c:v>
                </c:pt>
                <c:pt idx="56">
                  <c:v>3.4099300000000001E-5</c:v>
                </c:pt>
                <c:pt idx="57">
                  <c:v>3.4298999999999998E-5</c:v>
                </c:pt>
                <c:pt idx="58">
                  <c:v>3.4496699999999998E-5</c:v>
                </c:pt>
                <c:pt idx="59">
                  <c:v>3.46925E-5</c:v>
                </c:pt>
                <c:pt idx="60">
                  <c:v>3.4886399999999999E-5</c:v>
                </c:pt>
                <c:pt idx="61">
                  <c:v>3.5078299999999999E-5</c:v>
                </c:pt>
                <c:pt idx="62">
                  <c:v>3.5501499999999999E-5</c:v>
                </c:pt>
              </c:numCache>
            </c:numRef>
          </c:yVal>
          <c:smooth val="0"/>
          <c:extLst>
            <c:ext xmlns:c16="http://schemas.microsoft.com/office/drawing/2014/chart" uri="{C3380CC4-5D6E-409C-BE32-E72D297353CC}">
              <c16:uniqueId val="{00000008-2416-451F-80D8-0263EB459229}"/>
            </c:ext>
          </c:extLst>
        </c:ser>
        <c:ser>
          <c:idx val="9"/>
          <c:order val="9"/>
          <c:tx>
            <c:strRef>
              <c:f>CONC!$K$1</c:f>
              <c:strCache>
                <c:ptCount val="1"/>
                <c:pt idx="0">
                  <c:v>O2- </c:v>
                </c:pt>
              </c:strCache>
            </c:strRef>
          </c:tx>
          <c:xVal>
            <c:numRef>
              <c:f>CONC!$A$2:$A$64</c:f>
              <c:numCache>
                <c:formatCode>0.00E+00</c:formatCode>
                <c:ptCount val="63"/>
                <c:pt idx="0">
                  <c:v>0</c:v>
                </c:pt>
                <c:pt idx="1">
                  <c:v>1.2623599999999999</c:v>
                </c:pt>
                <c:pt idx="2">
                  <c:v>2.8906100000000001</c:v>
                </c:pt>
                <c:pt idx="3">
                  <c:v>6.7801200000000001</c:v>
                </c:pt>
                <c:pt idx="4">
                  <c:v>15.714499999999999</c:v>
                </c:pt>
                <c:pt idx="5">
                  <c:v>24.649000000000001</c:v>
                </c:pt>
                <c:pt idx="6">
                  <c:v>33.583399999999997</c:v>
                </c:pt>
                <c:pt idx="7">
                  <c:v>42.517800000000001</c:v>
                </c:pt>
                <c:pt idx="8">
                  <c:v>51.452300000000001</c:v>
                </c:pt>
                <c:pt idx="9">
                  <c:v>60.386699999999998</c:v>
                </c:pt>
                <c:pt idx="10">
                  <c:v>69.321100000000001</c:v>
                </c:pt>
                <c:pt idx="11">
                  <c:v>78.255499999999998</c:v>
                </c:pt>
                <c:pt idx="12">
                  <c:v>87.19</c:v>
                </c:pt>
                <c:pt idx="13">
                  <c:v>96.124399999999994</c:v>
                </c:pt>
                <c:pt idx="14">
                  <c:v>105.059</c:v>
                </c:pt>
                <c:pt idx="15">
                  <c:v>113.99299999999999</c:v>
                </c:pt>
                <c:pt idx="16">
                  <c:v>122.928</c:v>
                </c:pt>
                <c:pt idx="17">
                  <c:v>131.86199999999999</c:v>
                </c:pt>
                <c:pt idx="18">
                  <c:v>140.797</c:v>
                </c:pt>
                <c:pt idx="19">
                  <c:v>149.73099999999999</c:v>
                </c:pt>
                <c:pt idx="20">
                  <c:v>158.66499999999999</c:v>
                </c:pt>
                <c:pt idx="21">
                  <c:v>167.6</c:v>
                </c:pt>
                <c:pt idx="22">
                  <c:v>176.53399999999999</c:v>
                </c:pt>
                <c:pt idx="23">
                  <c:v>185.46899999999999</c:v>
                </c:pt>
                <c:pt idx="24">
                  <c:v>194.40299999999999</c:v>
                </c:pt>
                <c:pt idx="25">
                  <c:v>203.33699999999999</c:v>
                </c:pt>
                <c:pt idx="26">
                  <c:v>212.27199999999999</c:v>
                </c:pt>
                <c:pt idx="27">
                  <c:v>221.20599999999999</c:v>
                </c:pt>
                <c:pt idx="28">
                  <c:v>230.14099999999999</c:v>
                </c:pt>
                <c:pt idx="29">
                  <c:v>239.07499999999999</c:v>
                </c:pt>
                <c:pt idx="30">
                  <c:v>248.01</c:v>
                </c:pt>
                <c:pt idx="31">
                  <c:v>256.94400000000002</c:v>
                </c:pt>
                <c:pt idx="32">
                  <c:v>265.87799999999999</c:v>
                </c:pt>
                <c:pt idx="33">
                  <c:v>274.81299999999999</c:v>
                </c:pt>
                <c:pt idx="34">
                  <c:v>283.74700000000001</c:v>
                </c:pt>
                <c:pt idx="35">
                  <c:v>292.68200000000002</c:v>
                </c:pt>
                <c:pt idx="36">
                  <c:v>301.61599999999999</c:v>
                </c:pt>
                <c:pt idx="37">
                  <c:v>310.55099999999999</c:v>
                </c:pt>
                <c:pt idx="38">
                  <c:v>319.48500000000001</c:v>
                </c:pt>
                <c:pt idx="39">
                  <c:v>328.41899999999998</c:v>
                </c:pt>
                <c:pt idx="40">
                  <c:v>337.35399999999998</c:v>
                </c:pt>
                <c:pt idx="41">
                  <c:v>346.28800000000001</c:v>
                </c:pt>
                <c:pt idx="42">
                  <c:v>355.22300000000001</c:v>
                </c:pt>
                <c:pt idx="43">
                  <c:v>364.15699999999998</c:v>
                </c:pt>
                <c:pt idx="44">
                  <c:v>373.09199999999998</c:v>
                </c:pt>
                <c:pt idx="45">
                  <c:v>382.02600000000001</c:v>
                </c:pt>
                <c:pt idx="46">
                  <c:v>390.96</c:v>
                </c:pt>
                <c:pt idx="47">
                  <c:v>399.89499999999998</c:v>
                </c:pt>
                <c:pt idx="48">
                  <c:v>408.82900000000001</c:v>
                </c:pt>
                <c:pt idx="49">
                  <c:v>417.76400000000001</c:v>
                </c:pt>
                <c:pt idx="50">
                  <c:v>426.69799999999998</c:v>
                </c:pt>
                <c:pt idx="51">
                  <c:v>435.63299999999998</c:v>
                </c:pt>
                <c:pt idx="52">
                  <c:v>444.56700000000001</c:v>
                </c:pt>
                <c:pt idx="53">
                  <c:v>453.50099999999998</c:v>
                </c:pt>
                <c:pt idx="54">
                  <c:v>462.43599999999998</c:v>
                </c:pt>
                <c:pt idx="55">
                  <c:v>471.37</c:v>
                </c:pt>
                <c:pt idx="56">
                  <c:v>480.30500000000001</c:v>
                </c:pt>
                <c:pt idx="57">
                  <c:v>489.23899999999998</c:v>
                </c:pt>
                <c:pt idx="58">
                  <c:v>498.17399999999998</c:v>
                </c:pt>
                <c:pt idx="59">
                  <c:v>507.108</c:v>
                </c:pt>
                <c:pt idx="60">
                  <c:v>516.04200000000003</c:v>
                </c:pt>
                <c:pt idx="61">
                  <c:v>524.97699999999998</c:v>
                </c:pt>
                <c:pt idx="62">
                  <c:v>545</c:v>
                </c:pt>
              </c:numCache>
            </c:numRef>
          </c:xVal>
          <c:yVal>
            <c:numRef>
              <c:f>CONC!$K$2:$K$64</c:f>
              <c:numCache>
                <c:formatCode>0.00E+00</c:formatCode>
                <c:ptCount val="63"/>
                <c:pt idx="0">
                  <c:v>0</c:v>
                </c:pt>
                <c:pt idx="1">
                  <c:v>9.9999999999999999E-56</c:v>
                </c:pt>
                <c:pt idx="2">
                  <c:v>9.9999999999999999E-56</c:v>
                </c:pt>
                <c:pt idx="3">
                  <c:v>9.9999999999999999E-56</c:v>
                </c:pt>
                <c:pt idx="4">
                  <c:v>9.9999999999999999E-56</c:v>
                </c:pt>
                <c:pt idx="5">
                  <c:v>9.9999999999999999E-56</c:v>
                </c:pt>
                <c:pt idx="6">
                  <c:v>9.9999999999999999E-56</c:v>
                </c:pt>
                <c:pt idx="7">
                  <c:v>9.9999999999999999E-56</c:v>
                </c:pt>
                <c:pt idx="8">
                  <c:v>9.9999999999999999E-56</c:v>
                </c:pt>
                <c:pt idx="9">
                  <c:v>9.9999999999999999E-56</c:v>
                </c:pt>
                <c:pt idx="10">
                  <c:v>9.9999999999999999E-56</c:v>
                </c:pt>
                <c:pt idx="11">
                  <c:v>9.9999999999999999E-56</c:v>
                </c:pt>
                <c:pt idx="12">
                  <c:v>9.9999999999999999E-56</c:v>
                </c:pt>
                <c:pt idx="13">
                  <c:v>9.9999999999999999E-56</c:v>
                </c:pt>
                <c:pt idx="14">
                  <c:v>9.9999999999999999E-56</c:v>
                </c:pt>
                <c:pt idx="15">
                  <c:v>9.9999999999999999E-56</c:v>
                </c:pt>
                <c:pt idx="16">
                  <c:v>9.9999999999999999E-56</c:v>
                </c:pt>
                <c:pt idx="17">
                  <c:v>9.9999999999999999E-56</c:v>
                </c:pt>
                <c:pt idx="18">
                  <c:v>9.9999999999999999E-56</c:v>
                </c:pt>
                <c:pt idx="19">
                  <c:v>9.9999999999999999E-56</c:v>
                </c:pt>
                <c:pt idx="20">
                  <c:v>9.9999999999999999E-56</c:v>
                </c:pt>
                <c:pt idx="21">
                  <c:v>9.9999999999999999E-56</c:v>
                </c:pt>
                <c:pt idx="22">
                  <c:v>9.9999999999999999E-56</c:v>
                </c:pt>
                <c:pt idx="23">
                  <c:v>9.9999999999999999E-56</c:v>
                </c:pt>
                <c:pt idx="24">
                  <c:v>9.9999999999999999E-56</c:v>
                </c:pt>
                <c:pt idx="25">
                  <c:v>9.9999999999999999E-56</c:v>
                </c:pt>
                <c:pt idx="26">
                  <c:v>9.9999999999999999E-56</c:v>
                </c:pt>
                <c:pt idx="27">
                  <c:v>9.9999999999999999E-56</c:v>
                </c:pt>
                <c:pt idx="28">
                  <c:v>9.9999999999999999E-56</c:v>
                </c:pt>
                <c:pt idx="29">
                  <c:v>9.9999999999999999E-56</c:v>
                </c:pt>
                <c:pt idx="30">
                  <c:v>9.9999999999999999E-56</c:v>
                </c:pt>
                <c:pt idx="31">
                  <c:v>9.9999999999999999E-56</c:v>
                </c:pt>
                <c:pt idx="32">
                  <c:v>9.9999999999999999E-56</c:v>
                </c:pt>
                <c:pt idx="33">
                  <c:v>9.9999999999999999E-56</c:v>
                </c:pt>
                <c:pt idx="34">
                  <c:v>9.9999999999999999E-56</c:v>
                </c:pt>
                <c:pt idx="35">
                  <c:v>9.9999999999999999E-56</c:v>
                </c:pt>
                <c:pt idx="36">
                  <c:v>9.9999999999999999E-56</c:v>
                </c:pt>
                <c:pt idx="37">
                  <c:v>9.9999999999999999E-56</c:v>
                </c:pt>
                <c:pt idx="38">
                  <c:v>9.9999999999999999E-56</c:v>
                </c:pt>
                <c:pt idx="39">
                  <c:v>9.9999999999999999E-56</c:v>
                </c:pt>
                <c:pt idx="40">
                  <c:v>9.9999999999999999E-56</c:v>
                </c:pt>
                <c:pt idx="41">
                  <c:v>9.9999999999999999E-56</c:v>
                </c:pt>
                <c:pt idx="42">
                  <c:v>9.9999999999999999E-56</c:v>
                </c:pt>
                <c:pt idx="43">
                  <c:v>9.9999999999999999E-56</c:v>
                </c:pt>
                <c:pt idx="44">
                  <c:v>9.9999999999999999E-56</c:v>
                </c:pt>
                <c:pt idx="45">
                  <c:v>9.9999999999999999E-56</c:v>
                </c:pt>
                <c:pt idx="46">
                  <c:v>9.9999999999999999E-56</c:v>
                </c:pt>
                <c:pt idx="47">
                  <c:v>9.9999999999999999E-56</c:v>
                </c:pt>
                <c:pt idx="48">
                  <c:v>9.9999999999999999E-56</c:v>
                </c:pt>
                <c:pt idx="49">
                  <c:v>9.9999999999999999E-56</c:v>
                </c:pt>
                <c:pt idx="50">
                  <c:v>9.9999999999999999E-56</c:v>
                </c:pt>
                <c:pt idx="51">
                  <c:v>9.9999999999999999E-56</c:v>
                </c:pt>
                <c:pt idx="52">
                  <c:v>9.9999999999999999E-56</c:v>
                </c:pt>
                <c:pt idx="53">
                  <c:v>9.9999999999999999E-56</c:v>
                </c:pt>
                <c:pt idx="54">
                  <c:v>9.9999999999999999E-56</c:v>
                </c:pt>
                <c:pt idx="55">
                  <c:v>9.9999999999999999E-56</c:v>
                </c:pt>
                <c:pt idx="56">
                  <c:v>9.9999999999999999E-56</c:v>
                </c:pt>
                <c:pt idx="57">
                  <c:v>9.9999999999999999E-56</c:v>
                </c:pt>
                <c:pt idx="58">
                  <c:v>9.9999999999999999E-56</c:v>
                </c:pt>
                <c:pt idx="59">
                  <c:v>9.9999999999999999E-56</c:v>
                </c:pt>
                <c:pt idx="60">
                  <c:v>9.9999999999999999E-56</c:v>
                </c:pt>
                <c:pt idx="61">
                  <c:v>9.9999999999999999E-56</c:v>
                </c:pt>
                <c:pt idx="62">
                  <c:v>9.9999999999999999E-56</c:v>
                </c:pt>
              </c:numCache>
            </c:numRef>
          </c:yVal>
          <c:smooth val="0"/>
          <c:extLst>
            <c:ext xmlns:c16="http://schemas.microsoft.com/office/drawing/2014/chart" uri="{C3380CC4-5D6E-409C-BE32-E72D297353CC}">
              <c16:uniqueId val="{00000009-2416-451F-80D8-0263EB459229}"/>
            </c:ext>
          </c:extLst>
        </c:ser>
        <c:ser>
          <c:idx val="10"/>
          <c:order val="10"/>
          <c:tx>
            <c:strRef>
              <c:f>CONC!$L$1</c:f>
              <c:strCache>
                <c:ptCount val="1"/>
                <c:pt idx="0">
                  <c:v>C6H5COO- </c:v>
                </c:pt>
              </c:strCache>
            </c:strRef>
          </c:tx>
          <c:xVal>
            <c:numRef>
              <c:f>CONC!$A$2:$A$64</c:f>
              <c:numCache>
                <c:formatCode>0.00E+00</c:formatCode>
                <c:ptCount val="63"/>
                <c:pt idx="0">
                  <c:v>0</c:v>
                </c:pt>
                <c:pt idx="1">
                  <c:v>1.2623599999999999</c:v>
                </c:pt>
                <c:pt idx="2">
                  <c:v>2.8906100000000001</c:v>
                </c:pt>
                <c:pt idx="3">
                  <c:v>6.7801200000000001</c:v>
                </c:pt>
                <c:pt idx="4">
                  <c:v>15.714499999999999</c:v>
                </c:pt>
                <c:pt idx="5">
                  <c:v>24.649000000000001</c:v>
                </c:pt>
                <c:pt idx="6">
                  <c:v>33.583399999999997</c:v>
                </c:pt>
                <c:pt idx="7">
                  <c:v>42.517800000000001</c:v>
                </c:pt>
                <c:pt idx="8">
                  <c:v>51.452300000000001</c:v>
                </c:pt>
                <c:pt idx="9">
                  <c:v>60.386699999999998</c:v>
                </c:pt>
                <c:pt idx="10">
                  <c:v>69.321100000000001</c:v>
                </c:pt>
                <c:pt idx="11">
                  <c:v>78.255499999999998</c:v>
                </c:pt>
                <c:pt idx="12">
                  <c:v>87.19</c:v>
                </c:pt>
                <c:pt idx="13">
                  <c:v>96.124399999999994</c:v>
                </c:pt>
                <c:pt idx="14">
                  <c:v>105.059</c:v>
                </c:pt>
                <c:pt idx="15">
                  <c:v>113.99299999999999</c:v>
                </c:pt>
                <c:pt idx="16">
                  <c:v>122.928</c:v>
                </c:pt>
                <c:pt idx="17">
                  <c:v>131.86199999999999</c:v>
                </c:pt>
                <c:pt idx="18">
                  <c:v>140.797</c:v>
                </c:pt>
                <c:pt idx="19">
                  <c:v>149.73099999999999</c:v>
                </c:pt>
                <c:pt idx="20">
                  <c:v>158.66499999999999</c:v>
                </c:pt>
                <c:pt idx="21">
                  <c:v>167.6</c:v>
                </c:pt>
                <c:pt idx="22">
                  <c:v>176.53399999999999</c:v>
                </c:pt>
                <c:pt idx="23">
                  <c:v>185.46899999999999</c:v>
                </c:pt>
                <c:pt idx="24">
                  <c:v>194.40299999999999</c:v>
                </c:pt>
                <c:pt idx="25">
                  <c:v>203.33699999999999</c:v>
                </c:pt>
                <c:pt idx="26">
                  <c:v>212.27199999999999</c:v>
                </c:pt>
                <c:pt idx="27">
                  <c:v>221.20599999999999</c:v>
                </c:pt>
                <c:pt idx="28">
                  <c:v>230.14099999999999</c:v>
                </c:pt>
                <c:pt idx="29">
                  <c:v>239.07499999999999</c:v>
                </c:pt>
                <c:pt idx="30">
                  <c:v>248.01</c:v>
                </c:pt>
                <c:pt idx="31">
                  <c:v>256.94400000000002</c:v>
                </c:pt>
                <c:pt idx="32">
                  <c:v>265.87799999999999</c:v>
                </c:pt>
                <c:pt idx="33">
                  <c:v>274.81299999999999</c:v>
                </c:pt>
                <c:pt idx="34">
                  <c:v>283.74700000000001</c:v>
                </c:pt>
                <c:pt idx="35">
                  <c:v>292.68200000000002</c:v>
                </c:pt>
                <c:pt idx="36">
                  <c:v>301.61599999999999</c:v>
                </c:pt>
                <c:pt idx="37">
                  <c:v>310.55099999999999</c:v>
                </c:pt>
                <c:pt idx="38">
                  <c:v>319.48500000000001</c:v>
                </c:pt>
                <c:pt idx="39">
                  <c:v>328.41899999999998</c:v>
                </c:pt>
                <c:pt idx="40">
                  <c:v>337.35399999999998</c:v>
                </c:pt>
                <c:pt idx="41">
                  <c:v>346.28800000000001</c:v>
                </c:pt>
                <c:pt idx="42">
                  <c:v>355.22300000000001</c:v>
                </c:pt>
                <c:pt idx="43">
                  <c:v>364.15699999999998</c:v>
                </c:pt>
                <c:pt idx="44">
                  <c:v>373.09199999999998</c:v>
                </c:pt>
                <c:pt idx="45">
                  <c:v>382.02600000000001</c:v>
                </c:pt>
                <c:pt idx="46">
                  <c:v>390.96</c:v>
                </c:pt>
                <c:pt idx="47">
                  <c:v>399.89499999999998</c:v>
                </c:pt>
                <c:pt idx="48">
                  <c:v>408.82900000000001</c:v>
                </c:pt>
                <c:pt idx="49">
                  <c:v>417.76400000000001</c:v>
                </c:pt>
                <c:pt idx="50">
                  <c:v>426.69799999999998</c:v>
                </c:pt>
                <c:pt idx="51">
                  <c:v>435.63299999999998</c:v>
                </c:pt>
                <c:pt idx="52">
                  <c:v>444.56700000000001</c:v>
                </c:pt>
                <c:pt idx="53">
                  <c:v>453.50099999999998</c:v>
                </c:pt>
                <c:pt idx="54">
                  <c:v>462.43599999999998</c:v>
                </c:pt>
                <c:pt idx="55">
                  <c:v>471.37</c:v>
                </c:pt>
                <c:pt idx="56">
                  <c:v>480.30500000000001</c:v>
                </c:pt>
                <c:pt idx="57">
                  <c:v>489.23899999999998</c:v>
                </c:pt>
                <c:pt idx="58">
                  <c:v>498.17399999999998</c:v>
                </c:pt>
                <c:pt idx="59">
                  <c:v>507.108</c:v>
                </c:pt>
                <c:pt idx="60">
                  <c:v>516.04200000000003</c:v>
                </c:pt>
                <c:pt idx="61">
                  <c:v>524.97699999999998</c:v>
                </c:pt>
                <c:pt idx="62">
                  <c:v>545</c:v>
                </c:pt>
              </c:numCache>
            </c:numRef>
          </c:xVal>
          <c:yVal>
            <c:numRef>
              <c:f>CONC!$L$2:$L$64</c:f>
              <c:numCache>
                <c:formatCode>0.00E+00</c:formatCode>
                <c:ptCount val="63"/>
                <c:pt idx="0">
                  <c:v>4.9999999999999998E-7</c:v>
                </c:pt>
                <c:pt idx="1">
                  <c:v>4.75132E-7</c:v>
                </c:pt>
                <c:pt idx="2">
                  <c:v>4.53938E-7</c:v>
                </c:pt>
                <c:pt idx="3">
                  <c:v>4.0671400000000002E-7</c:v>
                </c:pt>
                <c:pt idx="4">
                  <c:v>3.1468299999999999E-7</c:v>
                </c:pt>
                <c:pt idx="5">
                  <c:v>2.4220100000000001E-7</c:v>
                </c:pt>
                <c:pt idx="6">
                  <c:v>1.8557099999999999E-7</c:v>
                </c:pt>
                <c:pt idx="7">
                  <c:v>1.4163300000000001E-7</c:v>
                </c:pt>
                <c:pt idx="8">
                  <c:v>1.07742E-7</c:v>
                </c:pt>
                <c:pt idx="9">
                  <c:v>8.1732200000000004E-8</c:v>
                </c:pt>
                <c:pt idx="10">
                  <c:v>6.1855299999999997E-8</c:v>
                </c:pt>
                <c:pt idx="11">
                  <c:v>4.6719000000000003E-8</c:v>
                </c:pt>
                <c:pt idx="12">
                  <c:v>3.5226900000000003E-8</c:v>
                </c:pt>
                <c:pt idx="13">
                  <c:v>2.65234E-8</c:v>
                </c:pt>
                <c:pt idx="14">
                  <c:v>1.9945699999999999E-8</c:v>
                </c:pt>
                <c:pt idx="15">
                  <c:v>1.4983299999999999E-8</c:v>
                </c:pt>
                <c:pt idx="16">
                  <c:v>1.12452E-8</c:v>
                </c:pt>
                <c:pt idx="17">
                  <c:v>8.4328300000000005E-9</c:v>
                </c:pt>
                <c:pt idx="18">
                  <c:v>6.3193400000000002E-9</c:v>
                </c:pt>
                <c:pt idx="19">
                  <c:v>4.7325499999999998E-9</c:v>
                </c:pt>
                <c:pt idx="20">
                  <c:v>3.54217E-9</c:v>
                </c:pt>
                <c:pt idx="21">
                  <c:v>2.64984E-9</c:v>
                </c:pt>
                <c:pt idx="22">
                  <c:v>1.98135E-9</c:v>
                </c:pt>
                <c:pt idx="23">
                  <c:v>1.48086E-9</c:v>
                </c:pt>
                <c:pt idx="24">
                  <c:v>1.10633E-9</c:v>
                </c:pt>
                <c:pt idx="25">
                  <c:v>8.2621099999999999E-10</c:v>
                </c:pt>
                <c:pt idx="26">
                  <c:v>6.1678799999999998E-10</c:v>
                </c:pt>
                <c:pt idx="27">
                  <c:v>4.6028699999999999E-10</c:v>
                </c:pt>
                <c:pt idx="28">
                  <c:v>3.43379E-10</c:v>
                </c:pt>
                <c:pt idx="29">
                  <c:v>2.5608199999999997E-10</c:v>
                </c:pt>
                <c:pt idx="30">
                  <c:v>1.90917E-10</c:v>
                </c:pt>
                <c:pt idx="31">
                  <c:v>1.4229099999999999E-10</c:v>
                </c:pt>
                <c:pt idx="32">
                  <c:v>1.06017E-10</c:v>
                </c:pt>
                <c:pt idx="33">
                  <c:v>7.8967500000000004E-11</c:v>
                </c:pt>
                <c:pt idx="34">
                  <c:v>5.8801999999999998E-11</c:v>
                </c:pt>
                <c:pt idx="35">
                  <c:v>4.37733E-11</c:v>
                </c:pt>
                <c:pt idx="36">
                  <c:v>3.2576300000000002E-11</c:v>
                </c:pt>
                <c:pt idx="37">
                  <c:v>2.4236500000000001E-11</c:v>
                </c:pt>
                <c:pt idx="38">
                  <c:v>1.80267E-11</c:v>
                </c:pt>
                <c:pt idx="39">
                  <c:v>1.34041E-11</c:v>
                </c:pt>
                <c:pt idx="40">
                  <c:v>9.9641099999999996E-12</c:v>
                </c:pt>
                <c:pt idx="41">
                  <c:v>7.4048599999999992E-12</c:v>
                </c:pt>
                <c:pt idx="42">
                  <c:v>5.5014100000000001E-12</c:v>
                </c:pt>
                <c:pt idx="43">
                  <c:v>4.0860999999999997E-12</c:v>
                </c:pt>
                <c:pt idx="44">
                  <c:v>3.03405E-12</c:v>
                </c:pt>
                <c:pt idx="45">
                  <c:v>2.2522400000000001E-12</c:v>
                </c:pt>
                <c:pt idx="46">
                  <c:v>1.67142E-12</c:v>
                </c:pt>
                <c:pt idx="47">
                  <c:v>1.24004E-12</c:v>
                </c:pt>
                <c:pt idx="48">
                  <c:v>9.197319999999999E-13</c:v>
                </c:pt>
                <c:pt idx="49">
                  <c:v>6.8197200000000001E-13</c:v>
                </c:pt>
                <c:pt idx="50">
                  <c:v>5.0553299999999998E-13</c:v>
                </c:pt>
                <c:pt idx="51">
                  <c:v>3.7463600000000002E-13</c:v>
                </c:pt>
                <c:pt idx="52">
                  <c:v>2.77554E-13</c:v>
                </c:pt>
                <c:pt idx="53">
                  <c:v>2.0557199999999999E-13</c:v>
                </c:pt>
                <c:pt idx="54">
                  <c:v>1.52214E-13</c:v>
                </c:pt>
                <c:pt idx="55">
                  <c:v>1.12674E-13</c:v>
                </c:pt>
                <c:pt idx="56">
                  <c:v>8.3381799999999998E-14</c:v>
                </c:pt>
                <c:pt idx="57">
                  <c:v>6.1686999999999998E-14</c:v>
                </c:pt>
                <c:pt idx="58">
                  <c:v>4.5623800000000003E-14</c:v>
                </c:pt>
                <c:pt idx="59">
                  <c:v>3.3733899999999997E-14</c:v>
                </c:pt>
                <c:pt idx="60">
                  <c:v>2.49354E-14</c:v>
                </c:pt>
                <c:pt idx="61">
                  <c:v>1.8426400000000001E-14</c:v>
                </c:pt>
                <c:pt idx="62">
                  <c:v>9.3446099999999994E-15</c:v>
                </c:pt>
              </c:numCache>
            </c:numRef>
          </c:yVal>
          <c:smooth val="0"/>
          <c:extLst>
            <c:ext xmlns:c16="http://schemas.microsoft.com/office/drawing/2014/chart" uri="{C3380CC4-5D6E-409C-BE32-E72D297353CC}">
              <c16:uniqueId val="{0000000A-2416-451F-80D8-0263EB459229}"/>
            </c:ext>
          </c:extLst>
        </c:ser>
        <c:ser>
          <c:idx val="11"/>
          <c:order val="11"/>
          <c:tx>
            <c:strRef>
              <c:f>CONC!$M$1</c:f>
              <c:strCache>
                <c:ptCount val="1"/>
                <c:pt idx="0">
                  <c:v>C6H5NO2- </c:v>
                </c:pt>
              </c:strCache>
            </c:strRef>
          </c:tx>
          <c:xVal>
            <c:numRef>
              <c:f>CONC!$A$2:$A$64</c:f>
              <c:numCache>
                <c:formatCode>0.00E+00</c:formatCode>
                <c:ptCount val="63"/>
                <c:pt idx="0">
                  <c:v>0</c:v>
                </c:pt>
                <c:pt idx="1">
                  <c:v>1.2623599999999999</c:v>
                </c:pt>
                <c:pt idx="2">
                  <c:v>2.8906100000000001</c:v>
                </c:pt>
                <c:pt idx="3">
                  <c:v>6.7801200000000001</c:v>
                </c:pt>
                <c:pt idx="4">
                  <c:v>15.714499999999999</c:v>
                </c:pt>
                <c:pt idx="5">
                  <c:v>24.649000000000001</c:v>
                </c:pt>
                <c:pt idx="6">
                  <c:v>33.583399999999997</c:v>
                </c:pt>
                <c:pt idx="7">
                  <c:v>42.517800000000001</c:v>
                </c:pt>
                <c:pt idx="8">
                  <c:v>51.452300000000001</c:v>
                </c:pt>
                <c:pt idx="9">
                  <c:v>60.386699999999998</c:v>
                </c:pt>
                <c:pt idx="10">
                  <c:v>69.321100000000001</c:v>
                </c:pt>
                <c:pt idx="11">
                  <c:v>78.255499999999998</c:v>
                </c:pt>
                <c:pt idx="12">
                  <c:v>87.19</c:v>
                </c:pt>
                <c:pt idx="13">
                  <c:v>96.124399999999994</c:v>
                </c:pt>
                <c:pt idx="14">
                  <c:v>105.059</c:v>
                </c:pt>
                <c:pt idx="15">
                  <c:v>113.99299999999999</c:v>
                </c:pt>
                <c:pt idx="16">
                  <c:v>122.928</c:v>
                </c:pt>
                <c:pt idx="17">
                  <c:v>131.86199999999999</c:v>
                </c:pt>
                <c:pt idx="18">
                  <c:v>140.797</c:v>
                </c:pt>
                <c:pt idx="19">
                  <c:v>149.73099999999999</c:v>
                </c:pt>
                <c:pt idx="20">
                  <c:v>158.66499999999999</c:v>
                </c:pt>
                <c:pt idx="21">
                  <c:v>167.6</c:v>
                </c:pt>
                <c:pt idx="22">
                  <c:v>176.53399999999999</c:v>
                </c:pt>
                <c:pt idx="23">
                  <c:v>185.46899999999999</c:v>
                </c:pt>
                <c:pt idx="24">
                  <c:v>194.40299999999999</c:v>
                </c:pt>
                <c:pt idx="25">
                  <c:v>203.33699999999999</c:v>
                </c:pt>
                <c:pt idx="26">
                  <c:v>212.27199999999999</c:v>
                </c:pt>
                <c:pt idx="27">
                  <c:v>221.20599999999999</c:v>
                </c:pt>
                <c:pt idx="28">
                  <c:v>230.14099999999999</c:v>
                </c:pt>
                <c:pt idx="29">
                  <c:v>239.07499999999999</c:v>
                </c:pt>
                <c:pt idx="30">
                  <c:v>248.01</c:v>
                </c:pt>
                <c:pt idx="31">
                  <c:v>256.94400000000002</c:v>
                </c:pt>
                <c:pt idx="32">
                  <c:v>265.87799999999999</c:v>
                </c:pt>
                <c:pt idx="33">
                  <c:v>274.81299999999999</c:v>
                </c:pt>
                <c:pt idx="34">
                  <c:v>283.74700000000001</c:v>
                </c:pt>
                <c:pt idx="35">
                  <c:v>292.68200000000002</c:v>
                </c:pt>
                <c:pt idx="36">
                  <c:v>301.61599999999999</c:v>
                </c:pt>
                <c:pt idx="37">
                  <c:v>310.55099999999999</c:v>
                </c:pt>
                <c:pt idx="38">
                  <c:v>319.48500000000001</c:v>
                </c:pt>
                <c:pt idx="39">
                  <c:v>328.41899999999998</c:v>
                </c:pt>
                <c:pt idx="40">
                  <c:v>337.35399999999998</c:v>
                </c:pt>
                <c:pt idx="41">
                  <c:v>346.28800000000001</c:v>
                </c:pt>
                <c:pt idx="42">
                  <c:v>355.22300000000001</c:v>
                </c:pt>
                <c:pt idx="43">
                  <c:v>364.15699999999998</c:v>
                </c:pt>
                <c:pt idx="44">
                  <c:v>373.09199999999998</c:v>
                </c:pt>
                <c:pt idx="45">
                  <c:v>382.02600000000001</c:v>
                </c:pt>
                <c:pt idx="46">
                  <c:v>390.96</c:v>
                </c:pt>
                <c:pt idx="47">
                  <c:v>399.89499999999998</c:v>
                </c:pt>
                <c:pt idx="48">
                  <c:v>408.82900000000001</c:v>
                </c:pt>
                <c:pt idx="49">
                  <c:v>417.76400000000001</c:v>
                </c:pt>
                <c:pt idx="50">
                  <c:v>426.69799999999998</c:v>
                </c:pt>
                <c:pt idx="51">
                  <c:v>435.63299999999998</c:v>
                </c:pt>
                <c:pt idx="52">
                  <c:v>444.56700000000001</c:v>
                </c:pt>
                <c:pt idx="53">
                  <c:v>453.50099999999998</c:v>
                </c:pt>
                <c:pt idx="54">
                  <c:v>462.43599999999998</c:v>
                </c:pt>
                <c:pt idx="55">
                  <c:v>471.37</c:v>
                </c:pt>
                <c:pt idx="56">
                  <c:v>480.30500000000001</c:v>
                </c:pt>
                <c:pt idx="57">
                  <c:v>489.23899999999998</c:v>
                </c:pt>
                <c:pt idx="58">
                  <c:v>498.17399999999998</c:v>
                </c:pt>
                <c:pt idx="59">
                  <c:v>507.108</c:v>
                </c:pt>
                <c:pt idx="60">
                  <c:v>516.04200000000003</c:v>
                </c:pt>
                <c:pt idx="61">
                  <c:v>524.97699999999998</c:v>
                </c:pt>
                <c:pt idx="62">
                  <c:v>545</c:v>
                </c:pt>
              </c:numCache>
            </c:numRef>
          </c:xVal>
          <c:yVal>
            <c:numRef>
              <c:f>CONC!$M$2:$M$64</c:f>
              <c:numCache>
                <c:formatCode>0.00E+00</c:formatCode>
                <c:ptCount val="63"/>
                <c:pt idx="0">
                  <c:v>4.9999999999999998E-7</c:v>
                </c:pt>
                <c:pt idx="1">
                  <c:v>4.9046499999999999E-7</c:v>
                </c:pt>
                <c:pt idx="2">
                  <c:v>4.7837399999999997E-7</c:v>
                </c:pt>
                <c:pt idx="3">
                  <c:v>4.5043899999999997E-7</c:v>
                </c:pt>
                <c:pt idx="4">
                  <c:v>3.9122399999999998E-7</c:v>
                </c:pt>
                <c:pt idx="5">
                  <c:v>3.3863699999999999E-7</c:v>
                </c:pt>
                <c:pt idx="6">
                  <c:v>2.9224900000000001E-7</c:v>
                </c:pt>
                <c:pt idx="7">
                  <c:v>2.5157200000000002E-7</c:v>
                </c:pt>
                <c:pt idx="8">
                  <c:v>2.1608199999999999E-7</c:v>
                </c:pt>
                <c:pt idx="9">
                  <c:v>1.8524999999999999E-7</c:v>
                </c:pt>
                <c:pt idx="10">
                  <c:v>1.5856100000000001E-7</c:v>
                </c:pt>
                <c:pt idx="11">
                  <c:v>1.35531E-7</c:v>
                </c:pt>
                <c:pt idx="12">
                  <c:v>1.1570700000000001E-7</c:v>
                </c:pt>
                <c:pt idx="13">
                  <c:v>9.8681499999999996E-8</c:v>
                </c:pt>
                <c:pt idx="14">
                  <c:v>8.4085099999999994E-8</c:v>
                </c:pt>
                <c:pt idx="15">
                  <c:v>7.1590999999999996E-8</c:v>
                </c:pt>
                <c:pt idx="16">
                  <c:v>6.0910400000000003E-8</c:v>
                </c:pt>
                <c:pt idx="17">
                  <c:v>5.1790600000000002E-8</c:v>
                </c:pt>
                <c:pt idx="18">
                  <c:v>4.4011000000000003E-8</c:v>
                </c:pt>
                <c:pt idx="19">
                  <c:v>3.7380500000000002E-8</c:v>
                </c:pt>
                <c:pt idx="20">
                  <c:v>3.1733600000000003E-8</c:v>
                </c:pt>
                <c:pt idx="21">
                  <c:v>2.6927700000000002E-8</c:v>
                </c:pt>
                <c:pt idx="22">
                  <c:v>2.2839899999999999E-8</c:v>
                </c:pt>
                <c:pt idx="23">
                  <c:v>1.9364999999999998E-8</c:v>
                </c:pt>
                <c:pt idx="24">
                  <c:v>1.6412499999999999E-8</c:v>
                </c:pt>
                <c:pt idx="25">
                  <c:v>1.39051E-8</c:v>
                </c:pt>
                <c:pt idx="26">
                  <c:v>1.17766E-8</c:v>
                </c:pt>
                <c:pt idx="27">
                  <c:v>9.9705499999999992E-9</c:v>
                </c:pt>
                <c:pt idx="28">
                  <c:v>8.4386399999999997E-9</c:v>
                </c:pt>
                <c:pt idx="29">
                  <c:v>7.1397799999999999E-9</c:v>
                </c:pt>
                <c:pt idx="30">
                  <c:v>6.0388999999999999E-9</c:v>
                </c:pt>
                <c:pt idx="31">
                  <c:v>5.10617E-9</c:v>
                </c:pt>
                <c:pt idx="32">
                  <c:v>4.3161600000000001E-9</c:v>
                </c:pt>
                <c:pt idx="33">
                  <c:v>3.6472600000000001E-9</c:v>
                </c:pt>
                <c:pt idx="34">
                  <c:v>3.0810900000000002E-9</c:v>
                </c:pt>
                <c:pt idx="35">
                  <c:v>2.6020200000000001E-9</c:v>
                </c:pt>
                <c:pt idx="36">
                  <c:v>2.1967799999999999E-9</c:v>
                </c:pt>
                <c:pt idx="37">
                  <c:v>1.8541099999999999E-9</c:v>
                </c:pt>
                <c:pt idx="38">
                  <c:v>1.5644200000000001E-9</c:v>
                </c:pt>
                <c:pt idx="39">
                  <c:v>1.3196000000000001E-9</c:v>
                </c:pt>
                <c:pt idx="40">
                  <c:v>1.1127700000000001E-9</c:v>
                </c:pt>
                <c:pt idx="41">
                  <c:v>9.3808199999999995E-10</c:v>
                </c:pt>
                <c:pt idx="42">
                  <c:v>7.9058400000000001E-10</c:v>
                </c:pt>
                <c:pt idx="43">
                  <c:v>6.6608299999999996E-10</c:v>
                </c:pt>
                <c:pt idx="44">
                  <c:v>5.6102400000000003E-10</c:v>
                </c:pt>
                <c:pt idx="45">
                  <c:v>4.7239800000000003E-10</c:v>
                </c:pt>
                <c:pt idx="46">
                  <c:v>3.9765600000000002E-10</c:v>
                </c:pt>
                <c:pt idx="47">
                  <c:v>3.3464200000000001E-10</c:v>
                </c:pt>
                <c:pt idx="48">
                  <c:v>2.8153100000000002E-10</c:v>
                </c:pt>
                <c:pt idx="49">
                  <c:v>2.3677999999999998E-10</c:v>
                </c:pt>
                <c:pt idx="50">
                  <c:v>1.9908400000000001E-10</c:v>
                </c:pt>
                <c:pt idx="51">
                  <c:v>1.67341E-10</c:v>
                </c:pt>
                <c:pt idx="52">
                  <c:v>1.4061800000000001E-10</c:v>
                </c:pt>
                <c:pt idx="53">
                  <c:v>1.1812799999999999E-10</c:v>
                </c:pt>
                <c:pt idx="54">
                  <c:v>9.9205699999999998E-11</c:v>
                </c:pt>
                <c:pt idx="55">
                  <c:v>8.3290200000000003E-11</c:v>
                </c:pt>
                <c:pt idx="56">
                  <c:v>6.9907600000000005E-11</c:v>
                </c:pt>
                <c:pt idx="57">
                  <c:v>5.8658099999999996E-11</c:v>
                </c:pt>
                <c:pt idx="58">
                  <c:v>4.9204400000000002E-11</c:v>
                </c:pt>
                <c:pt idx="59">
                  <c:v>4.1262299999999998E-11</c:v>
                </c:pt>
                <c:pt idx="60">
                  <c:v>3.4591999999999998E-11</c:v>
                </c:pt>
                <c:pt idx="61">
                  <c:v>2.8991500000000001E-11</c:v>
                </c:pt>
                <c:pt idx="62">
                  <c:v>1.9494000000000001E-11</c:v>
                </c:pt>
              </c:numCache>
            </c:numRef>
          </c:yVal>
          <c:smooth val="0"/>
          <c:extLst>
            <c:ext xmlns:c16="http://schemas.microsoft.com/office/drawing/2014/chart" uri="{C3380CC4-5D6E-409C-BE32-E72D297353CC}">
              <c16:uniqueId val="{0000000B-2416-451F-80D8-0263EB459229}"/>
            </c:ext>
          </c:extLst>
        </c:ser>
        <c:ser>
          <c:idx val="12"/>
          <c:order val="12"/>
          <c:tx>
            <c:strRef>
              <c:f>CONC!$N$1</c:f>
              <c:strCache>
                <c:ptCount val="1"/>
                <c:pt idx="0">
                  <c:v>O3 </c:v>
                </c:pt>
              </c:strCache>
            </c:strRef>
          </c:tx>
          <c:xVal>
            <c:numRef>
              <c:f>CONC!$A$2:$A$64</c:f>
              <c:numCache>
                <c:formatCode>0.00E+00</c:formatCode>
                <c:ptCount val="63"/>
                <c:pt idx="0">
                  <c:v>0</c:v>
                </c:pt>
                <c:pt idx="1">
                  <c:v>1.2623599999999999</c:v>
                </c:pt>
                <c:pt idx="2">
                  <c:v>2.8906100000000001</c:v>
                </c:pt>
                <c:pt idx="3">
                  <c:v>6.7801200000000001</c:v>
                </c:pt>
                <c:pt idx="4">
                  <c:v>15.714499999999999</c:v>
                </c:pt>
                <c:pt idx="5">
                  <c:v>24.649000000000001</c:v>
                </c:pt>
                <c:pt idx="6">
                  <c:v>33.583399999999997</c:v>
                </c:pt>
                <c:pt idx="7">
                  <c:v>42.517800000000001</c:v>
                </c:pt>
                <c:pt idx="8">
                  <c:v>51.452300000000001</c:v>
                </c:pt>
                <c:pt idx="9">
                  <c:v>60.386699999999998</c:v>
                </c:pt>
                <c:pt idx="10">
                  <c:v>69.321100000000001</c:v>
                </c:pt>
                <c:pt idx="11">
                  <c:v>78.255499999999998</c:v>
                </c:pt>
                <c:pt idx="12">
                  <c:v>87.19</c:v>
                </c:pt>
                <c:pt idx="13">
                  <c:v>96.124399999999994</c:v>
                </c:pt>
                <c:pt idx="14">
                  <c:v>105.059</c:v>
                </c:pt>
                <c:pt idx="15">
                  <c:v>113.99299999999999</c:v>
                </c:pt>
                <c:pt idx="16">
                  <c:v>122.928</c:v>
                </c:pt>
                <c:pt idx="17">
                  <c:v>131.86199999999999</c:v>
                </c:pt>
                <c:pt idx="18">
                  <c:v>140.797</c:v>
                </c:pt>
                <c:pt idx="19">
                  <c:v>149.73099999999999</c:v>
                </c:pt>
                <c:pt idx="20">
                  <c:v>158.66499999999999</c:v>
                </c:pt>
                <c:pt idx="21">
                  <c:v>167.6</c:v>
                </c:pt>
                <c:pt idx="22">
                  <c:v>176.53399999999999</c:v>
                </c:pt>
                <c:pt idx="23">
                  <c:v>185.46899999999999</c:v>
                </c:pt>
                <c:pt idx="24">
                  <c:v>194.40299999999999</c:v>
                </c:pt>
                <c:pt idx="25">
                  <c:v>203.33699999999999</c:v>
                </c:pt>
                <c:pt idx="26">
                  <c:v>212.27199999999999</c:v>
                </c:pt>
                <c:pt idx="27">
                  <c:v>221.20599999999999</c:v>
                </c:pt>
                <c:pt idx="28">
                  <c:v>230.14099999999999</c:v>
                </c:pt>
                <c:pt idx="29">
                  <c:v>239.07499999999999</c:v>
                </c:pt>
                <c:pt idx="30">
                  <c:v>248.01</c:v>
                </c:pt>
                <c:pt idx="31">
                  <c:v>256.94400000000002</c:v>
                </c:pt>
                <c:pt idx="32">
                  <c:v>265.87799999999999</c:v>
                </c:pt>
                <c:pt idx="33">
                  <c:v>274.81299999999999</c:v>
                </c:pt>
                <c:pt idx="34">
                  <c:v>283.74700000000001</c:v>
                </c:pt>
                <c:pt idx="35">
                  <c:v>292.68200000000002</c:v>
                </c:pt>
                <c:pt idx="36">
                  <c:v>301.61599999999999</c:v>
                </c:pt>
                <c:pt idx="37">
                  <c:v>310.55099999999999</c:v>
                </c:pt>
                <c:pt idx="38">
                  <c:v>319.48500000000001</c:v>
                </c:pt>
                <c:pt idx="39">
                  <c:v>328.41899999999998</c:v>
                </c:pt>
                <c:pt idx="40">
                  <c:v>337.35399999999998</c:v>
                </c:pt>
                <c:pt idx="41">
                  <c:v>346.28800000000001</c:v>
                </c:pt>
                <c:pt idx="42">
                  <c:v>355.22300000000001</c:v>
                </c:pt>
                <c:pt idx="43">
                  <c:v>364.15699999999998</c:v>
                </c:pt>
                <c:pt idx="44">
                  <c:v>373.09199999999998</c:v>
                </c:pt>
                <c:pt idx="45">
                  <c:v>382.02600000000001</c:v>
                </c:pt>
                <c:pt idx="46">
                  <c:v>390.96</c:v>
                </c:pt>
                <c:pt idx="47">
                  <c:v>399.89499999999998</c:v>
                </c:pt>
                <c:pt idx="48">
                  <c:v>408.82900000000001</c:v>
                </c:pt>
                <c:pt idx="49">
                  <c:v>417.76400000000001</c:v>
                </c:pt>
                <c:pt idx="50">
                  <c:v>426.69799999999998</c:v>
                </c:pt>
                <c:pt idx="51">
                  <c:v>435.63299999999998</c:v>
                </c:pt>
                <c:pt idx="52">
                  <c:v>444.56700000000001</c:v>
                </c:pt>
                <c:pt idx="53">
                  <c:v>453.50099999999998</c:v>
                </c:pt>
                <c:pt idx="54">
                  <c:v>462.43599999999998</c:v>
                </c:pt>
                <c:pt idx="55">
                  <c:v>471.37</c:v>
                </c:pt>
                <c:pt idx="56">
                  <c:v>480.30500000000001</c:v>
                </c:pt>
                <c:pt idx="57">
                  <c:v>489.23899999999998</c:v>
                </c:pt>
                <c:pt idx="58">
                  <c:v>498.17399999999998</c:v>
                </c:pt>
                <c:pt idx="59">
                  <c:v>507.108</c:v>
                </c:pt>
                <c:pt idx="60">
                  <c:v>516.04200000000003</c:v>
                </c:pt>
                <c:pt idx="61">
                  <c:v>524.97699999999998</c:v>
                </c:pt>
                <c:pt idx="62">
                  <c:v>545</c:v>
                </c:pt>
              </c:numCache>
            </c:numRef>
          </c:xVal>
          <c:yVal>
            <c:numRef>
              <c:f>CONC!$N$2:$N$64</c:f>
              <c:numCache>
                <c:formatCode>0.00E+00</c:formatCode>
                <c:ptCount val="63"/>
                <c:pt idx="0">
                  <c:v>0</c:v>
                </c:pt>
                <c:pt idx="1">
                  <c:v>3.9445500000000001E-10</c:v>
                </c:pt>
                <c:pt idx="2">
                  <c:v>8.8236900000000002E-10</c:v>
                </c:pt>
                <c:pt idx="3">
                  <c:v>1.95951E-9</c:v>
                </c:pt>
                <c:pt idx="4">
                  <c:v>4.01984E-9</c:v>
                </c:pt>
                <c:pt idx="5">
                  <c:v>5.60695E-9</c:v>
                </c:pt>
                <c:pt idx="6">
                  <c:v>6.8243299999999997E-9</c:v>
                </c:pt>
                <c:pt idx="7">
                  <c:v>7.7528300000000004E-9</c:v>
                </c:pt>
                <c:pt idx="8">
                  <c:v>8.4556700000000004E-9</c:v>
                </c:pt>
                <c:pt idx="9">
                  <c:v>8.9822800000000005E-9</c:v>
                </c:pt>
                <c:pt idx="10">
                  <c:v>9.3712600000000002E-9</c:v>
                </c:pt>
                <c:pt idx="11">
                  <c:v>9.6528400000000008E-9</c:v>
                </c:pt>
                <c:pt idx="12">
                  <c:v>9.8506099999999998E-9</c:v>
                </c:pt>
                <c:pt idx="13">
                  <c:v>9.9830500000000002E-9</c:v>
                </c:pt>
                <c:pt idx="14">
                  <c:v>1.0064599999999999E-8</c:v>
                </c:pt>
                <c:pt idx="15">
                  <c:v>1.01065E-8</c:v>
                </c:pt>
                <c:pt idx="16">
                  <c:v>1.01176E-8</c:v>
                </c:pt>
                <c:pt idx="17">
                  <c:v>1.01049E-8</c:v>
                </c:pt>
                <c:pt idx="18">
                  <c:v>1.00737E-8</c:v>
                </c:pt>
                <c:pt idx="19">
                  <c:v>1.00282E-8</c:v>
                </c:pt>
                <c:pt idx="20">
                  <c:v>9.9717299999999999E-9</c:v>
                </c:pt>
                <c:pt idx="21">
                  <c:v>9.9068900000000003E-9</c:v>
                </c:pt>
                <c:pt idx="22">
                  <c:v>9.8356999999999999E-9</c:v>
                </c:pt>
                <c:pt idx="23">
                  <c:v>9.7597099999999996E-9</c:v>
                </c:pt>
                <c:pt idx="24">
                  <c:v>9.6801699999999993E-9</c:v>
                </c:pt>
                <c:pt idx="25">
                  <c:v>9.5980300000000006E-9</c:v>
                </c:pt>
                <c:pt idx="26">
                  <c:v>9.5140599999999993E-9</c:v>
                </c:pt>
                <c:pt idx="27">
                  <c:v>9.42883E-9</c:v>
                </c:pt>
                <c:pt idx="28">
                  <c:v>9.3428100000000003E-9</c:v>
                </c:pt>
                <c:pt idx="29">
                  <c:v>9.2563499999999994E-9</c:v>
                </c:pt>
                <c:pt idx="30">
                  <c:v>9.1697300000000003E-9</c:v>
                </c:pt>
                <c:pt idx="31">
                  <c:v>9.0831600000000007E-9</c:v>
                </c:pt>
                <c:pt idx="32">
                  <c:v>8.9968100000000001E-9</c:v>
                </c:pt>
                <c:pt idx="33">
                  <c:v>8.91082E-9</c:v>
                </c:pt>
                <c:pt idx="34">
                  <c:v>8.8252699999999997E-9</c:v>
                </c:pt>
                <c:pt idx="35">
                  <c:v>8.7402499999999995E-9</c:v>
                </c:pt>
                <c:pt idx="36">
                  <c:v>8.6558200000000004E-9</c:v>
                </c:pt>
                <c:pt idx="37">
                  <c:v>8.5720200000000003E-9</c:v>
                </c:pt>
                <c:pt idx="38">
                  <c:v>8.4888800000000006E-9</c:v>
                </c:pt>
                <c:pt idx="39">
                  <c:v>8.4064300000000007E-9</c:v>
                </c:pt>
                <c:pt idx="40">
                  <c:v>8.3246800000000007E-9</c:v>
                </c:pt>
                <c:pt idx="41">
                  <c:v>8.2436500000000002E-9</c:v>
                </c:pt>
                <c:pt idx="42">
                  <c:v>8.1633399999999992E-9</c:v>
                </c:pt>
                <c:pt idx="43">
                  <c:v>8.0837699999999993E-9</c:v>
                </c:pt>
                <c:pt idx="44">
                  <c:v>8.0049200000000005E-9</c:v>
                </c:pt>
                <c:pt idx="45">
                  <c:v>7.9268099999999994E-9</c:v>
                </c:pt>
                <c:pt idx="46">
                  <c:v>7.8494299999999994E-9</c:v>
                </c:pt>
                <c:pt idx="47">
                  <c:v>7.7727700000000007E-9</c:v>
                </c:pt>
                <c:pt idx="48">
                  <c:v>7.6968399999999997E-9</c:v>
                </c:pt>
                <c:pt idx="49">
                  <c:v>7.6216299999999999E-9</c:v>
                </c:pt>
                <c:pt idx="50">
                  <c:v>7.5471399999999996E-9</c:v>
                </c:pt>
                <c:pt idx="51">
                  <c:v>7.4733600000000008E-9</c:v>
                </c:pt>
                <c:pt idx="52">
                  <c:v>7.4002899999999999E-9</c:v>
                </c:pt>
                <c:pt idx="53">
                  <c:v>7.3279099999999998E-9</c:v>
                </c:pt>
                <c:pt idx="54">
                  <c:v>7.2562300000000003E-9</c:v>
                </c:pt>
                <c:pt idx="55">
                  <c:v>7.1852399999999999E-9</c:v>
                </c:pt>
                <c:pt idx="56">
                  <c:v>7.1149300000000004E-9</c:v>
                </c:pt>
                <c:pt idx="57">
                  <c:v>7.0453000000000001E-9</c:v>
                </c:pt>
                <c:pt idx="58">
                  <c:v>6.9763399999999999E-9</c:v>
                </c:pt>
                <c:pt idx="59">
                  <c:v>6.9080499999999999E-9</c:v>
                </c:pt>
                <c:pt idx="60">
                  <c:v>6.8404100000000004E-9</c:v>
                </c:pt>
                <c:pt idx="61">
                  <c:v>6.7734300000000003E-9</c:v>
                </c:pt>
                <c:pt idx="62">
                  <c:v>6.6256500000000002E-9</c:v>
                </c:pt>
              </c:numCache>
            </c:numRef>
          </c:yVal>
          <c:smooth val="0"/>
          <c:extLst>
            <c:ext xmlns:c16="http://schemas.microsoft.com/office/drawing/2014/chart" uri="{C3380CC4-5D6E-409C-BE32-E72D297353CC}">
              <c16:uniqueId val="{0000000C-2416-451F-80D8-0263EB459229}"/>
            </c:ext>
          </c:extLst>
        </c:ser>
        <c:ser>
          <c:idx val="13"/>
          <c:order val="13"/>
          <c:tx>
            <c:strRef>
              <c:f>CONC!$O$1</c:f>
              <c:strCache>
                <c:ptCount val="1"/>
                <c:pt idx="0">
                  <c:v>CH2O </c:v>
                </c:pt>
              </c:strCache>
            </c:strRef>
          </c:tx>
          <c:xVal>
            <c:numRef>
              <c:f>CONC!$A$2:$A$64</c:f>
              <c:numCache>
                <c:formatCode>0.00E+00</c:formatCode>
                <c:ptCount val="63"/>
                <c:pt idx="0">
                  <c:v>0</c:v>
                </c:pt>
                <c:pt idx="1">
                  <c:v>1.2623599999999999</c:v>
                </c:pt>
                <c:pt idx="2">
                  <c:v>2.8906100000000001</c:v>
                </c:pt>
                <c:pt idx="3">
                  <c:v>6.7801200000000001</c:v>
                </c:pt>
                <c:pt idx="4">
                  <c:v>15.714499999999999</c:v>
                </c:pt>
                <c:pt idx="5">
                  <c:v>24.649000000000001</c:v>
                </c:pt>
                <c:pt idx="6">
                  <c:v>33.583399999999997</c:v>
                </c:pt>
                <c:pt idx="7">
                  <c:v>42.517800000000001</c:v>
                </c:pt>
                <c:pt idx="8">
                  <c:v>51.452300000000001</c:v>
                </c:pt>
                <c:pt idx="9">
                  <c:v>60.386699999999998</c:v>
                </c:pt>
                <c:pt idx="10">
                  <c:v>69.321100000000001</c:v>
                </c:pt>
                <c:pt idx="11">
                  <c:v>78.255499999999998</c:v>
                </c:pt>
                <c:pt idx="12">
                  <c:v>87.19</c:v>
                </c:pt>
                <c:pt idx="13">
                  <c:v>96.124399999999994</c:v>
                </c:pt>
                <c:pt idx="14">
                  <c:v>105.059</c:v>
                </c:pt>
                <c:pt idx="15">
                  <c:v>113.99299999999999</c:v>
                </c:pt>
                <c:pt idx="16">
                  <c:v>122.928</c:v>
                </c:pt>
                <c:pt idx="17">
                  <c:v>131.86199999999999</c:v>
                </c:pt>
                <c:pt idx="18">
                  <c:v>140.797</c:v>
                </c:pt>
                <c:pt idx="19">
                  <c:v>149.73099999999999</c:v>
                </c:pt>
                <c:pt idx="20">
                  <c:v>158.66499999999999</c:v>
                </c:pt>
                <c:pt idx="21">
                  <c:v>167.6</c:v>
                </c:pt>
                <c:pt idx="22">
                  <c:v>176.53399999999999</c:v>
                </c:pt>
                <c:pt idx="23">
                  <c:v>185.46899999999999</c:v>
                </c:pt>
                <c:pt idx="24">
                  <c:v>194.40299999999999</c:v>
                </c:pt>
                <c:pt idx="25">
                  <c:v>203.33699999999999</c:v>
                </c:pt>
                <c:pt idx="26">
                  <c:v>212.27199999999999</c:v>
                </c:pt>
                <c:pt idx="27">
                  <c:v>221.20599999999999</c:v>
                </c:pt>
                <c:pt idx="28">
                  <c:v>230.14099999999999</c:v>
                </c:pt>
                <c:pt idx="29">
                  <c:v>239.07499999999999</c:v>
                </c:pt>
                <c:pt idx="30">
                  <c:v>248.01</c:v>
                </c:pt>
                <c:pt idx="31">
                  <c:v>256.94400000000002</c:v>
                </c:pt>
                <c:pt idx="32">
                  <c:v>265.87799999999999</c:v>
                </c:pt>
                <c:pt idx="33">
                  <c:v>274.81299999999999</c:v>
                </c:pt>
                <c:pt idx="34">
                  <c:v>283.74700000000001</c:v>
                </c:pt>
                <c:pt idx="35">
                  <c:v>292.68200000000002</c:v>
                </c:pt>
                <c:pt idx="36">
                  <c:v>301.61599999999999</c:v>
                </c:pt>
                <c:pt idx="37">
                  <c:v>310.55099999999999</c:v>
                </c:pt>
                <c:pt idx="38">
                  <c:v>319.48500000000001</c:v>
                </c:pt>
                <c:pt idx="39">
                  <c:v>328.41899999999998</c:v>
                </c:pt>
                <c:pt idx="40">
                  <c:v>337.35399999999998</c:v>
                </c:pt>
                <c:pt idx="41">
                  <c:v>346.28800000000001</c:v>
                </c:pt>
                <c:pt idx="42">
                  <c:v>355.22300000000001</c:v>
                </c:pt>
                <c:pt idx="43">
                  <c:v>364.15699999999998</c:v>
                </c:pt>
                <c:pt idx="44">
                  <c:v>373.09199999999998</c:v>
                </c:pt>
                <c:pt idx="45">
                  <c:v>382.02600000000001</c:v>
                </c:pt>
                <c:pt idx="46">
                  <c:v>390.96</c:v>
                </c:pt>
                <c:pt idx="47">
                  <c:v>399.89499999999998</c:v>
                </c:pt>
                <c:pt idx="48">
                  <c:v>408.82900000000001</c:v>
                </c:pt>
                <c:pt idx="49">
                  <c:v>417.76400000000001</c:v>
                </c:pt>
                <c:pt idx="50">
                  <c:v>426.69799999999998</c:v>
                </c:pt>
                <c:pt idx="51">
                  <c:v>435.63299999999998</c:v>
                </c:pt>
                <c:pt idx="52">
                  <c:v>444.56700000000001</c:v>
                </c:pt>
                <c:pt idx="53">
                  <c:v>453.50099999999998</c:v>
                </c:pt>
                <c:pt idx="54">
                  <c:v>462.43599999999998</c:v>
                </c:pt>
                <c:pt idx="55">
                  <c:v>471.37</c:v>
                </c:pt>
                <c:pt idx="56">
                  <c:v>480.30500000000001</c:v>
                </c:pt>
                <c:pt idx="57">
                  <c:v>489.23899999999998</c:v>
                </c:pt>
                <c:pt idx="58">
                  <c:v>498.17399999999998</c:v>
                </c:pt>
                <c:pt idx="59">
                  <c:v>507.108</c:v>
                </c:pt>
                <c:pt idx="60">
                  <c:v>516.04200000000003</c:v>
                </c:pt>
                <c:pt idx="61">
                  <c:v>524.97699999999998</c:v>
                </c:pt>
                <c:pt idx="62">
                  <c:v>545</c:v>
                </c:pt>
              </c:numCache>
            </c:numRef>
          </c:xVal>
          <c:yVal>
            <c:numRef>
              <c:f>CONC!$O$2:$O$64</c:f>
              <c:numCache>
                <c:formatCode>0.00E+00</c:formatCode>
                <c:ptCount val="63"/>
                <c:pt idx="0">
                  <c:v>0</c:v>
                </c:pt>
                <c:pt idx="1">
                  <c:v>9.9999999999999999E-56</c:v>
                </c:pt>
                <c:pt idx="2">
                  <c:v>9.9999999999999999E-56</c:v>
                </c:pt>
                <c:pt idx="3">
                  <c:v>9.9999999999999999E-56</c:v>
                </c:pt>
                <c:pt idx="4">
                  <c:v>9.9999999999999999E-56</c:v>
                </c:pt>
                <c:pt idx="5">
                  <c:v>9.9999999999999999E-56</c:v>
                </c:pt>
                <c:pt idx="6">
                  <c:v>9.9999999999999999E-56</c:v>
                </c:pt>
                <c:pt idx="7">
                  <c:v>9.9999999999999999E-56</c:v>
                </c:pt>
                <c:pt idx="8">
                  <c:v>9.9999999999999999E-56</c:v>
                </c:pt>
                <c:pt idx="9">
                  <c:v>9.9999999999999999E-56</c:v>
                </c:pt>
                <c:pt idx="10">
                  <c:v>9.9999999999999999E-56</c:v>
                </c:pt>
                <c:pt idx="11">
                  <c:v>9.9999999999999999E-56</c:v>
                </c:pt>
                <c:pt idx="12">
                  <c:v>9.9999999999999999E-56</c:v>
                </c:pt>
                <c:pt idx="13">
                  <c:v>9.9999999999999999E-56</c:v>
                </c:pt>
                <c:pt idx="14">
                  <c:v>9.9999999999999999E-56</c:v>
                </c:pt>
                <c:pt idx="15">
                  <c:v>9.9999999999999999E-56</c:v>
                </c:pt>
                <c:pt idx="16">
                  <c:v>9.9999999999999999E-56</c:v>
                </c:pt>
                <c:pt idx="17">
                  <c:v>9.9999999999999999E-56</c:v>
                </c:pt>
                <c:pt idx="18">
                  <c:v>9.9999999999999999E-56</c:v>
                </c:pt>
                <c:pt idx="19">
                  <c:v>9.9999999999999999E-56</c:v>
                </c:pt>
                <c:pt idx="20">
                  <c:v>9.9999999999999999E-56</c:v>
                </c:pt>
                <c:pt idx="21">
                  <c:v>9.9999999999999999E-56</c:v>
                </c:pt>
                <c:pt idx="22">
                  <c:v>9.9999999999999999E-56</c:v>
                </c:pt>
                <c:pt idx="23">
                  <c:v>9.9999999999999999E-56</c:v>
                </c:pt>
                <c:pt idx="24">
                  <c:v>9.9999999999999999E-56</c:v>
                </c:pt>
                <c:pt idx="25">
                  <c:v>9.9999999999999999E-56</c:v>
                </c:pt>
                <c:pt idx="26">
                  <c:v>9.9999999999999999E-56</c:v>
                </c:pt>
                <c:pt idx="27">
                  <c:v>9.9999999999999999E-56</c:v>
                </c:pt>
                <c:pt idx="28">
                  <c:v>9.9999999999999999E-56</c:v>
                </c:pt>
                <c:pt idx="29">
                  <c:v>9.9999999999999999E-56</c:v>
                </c:pt>
                <c:pt idx="30">
                  <c:v>9.9999999999999999E-56</c:v>
                </c:pt>
                <c:pt idx="31">
                  <c:v>9.9999999999999999E-56</c:v>
                </c:pt>
                <c:pt idx="32">
                  <c:v>9.9999999999999999E-56</c:v>
                </c:pt>
                <c:pt idx="33">
                  <c:v>9.9999999999999999E-56</c:v>
                </c:pt>
                <c:pt idx="34">
                  <c:v>9.9999999999999999E-56</c:v>
                </c:pt>
                <c:pt idx="35">
                  <c:v>9.9999999999999999E-56</c:v>
                </c:pt>
                <c:pt idx="36">
                  <c:v>9.9999999999999999E-56</c:v>
                </c:pt>
                <c:pt idx="37">
                  <c:v>9.9999999999999999E-56</c:v>
                </c:pt>
                <c:pt idx="38">
                  <c:v>9.9999999999999999E-56</c:v>
                </c:pt>
                <c:pt idx="39">
                  <c:v>9.9999999999999999E-56</c:v>
                </c:pt>
                <c:pt idx="40">
                  <c:v>9.9999999999999999E-56</c:v>
                </c:pt>
                <c:pt idx="41">
                  <c:v>9.9999999999999999E-56</c:v>
                </c:pt>
                <c:pt idx="42">
                  <c:v>9.9999999999999999E-56</c:v>
                </c:pt>
                <c:pt idx="43">
                  <c:v>9.9999999999999999E-56</c:v>
                </c:pt>
                <c:pt idx="44">
                  <c:v>9.9999999999999999E-56</c:v>
                </c:pt>
                <c:pt idx="45">
                  <c:v>9.9999999999999999E-56</c:v>
                </c:pt>
                <c:pt idx="46">
                  <c:v>9.9999999999999999E-56</c:v>
                </c:pt>
                <c:pt idx="47">
                  <c:v>9.9999999999999999E-56</c:v>
                </c:pt>
                <c:pt idx="48">
                  <c:v>9.9999999999999999E-56</c:v>
                </c:pt>
                <c:pt idx="49">
                  <c:v>9.9999999999999999E-56</c:v>
                </c:pt>
                <c:pt idx="50">
                  <c:v>9.9999999999999999E-56</c:v>
                </c:pt>
                <c:pt idx="51">
                  <c:v>9.9999999999999999E-56</c:v>
                </c:pt>
                <c:pt idx="52">
                  <c:v>9.9999999999999999E-56</c:v>
                </c:pt>
                <c:pt idx="53">
                  <c:v>9.9999999999999999E-56</c:v>
                </c:pt>
                <c:pt idx="54">
                  <c:v>9.9999999999999999E-56</c:v>
                </c:pt>
                <c:pt idx="55">
                  <c:v>9.9999999999999999E-56</c:v>
                </c:pt>
                <c:pt idx="56">
                  <c:v>9.9999999999999999E-56</c:v>
                </c:pt>
                <c:pt idx="57">
                  <c:v>9.9999999999999999E-56</c:v>
                </c:pt>
                <c:pt idx="58">
                  <c:v>9.9999999999999999E-56</c:v>
                </c:pt>
                <c:pt idx="59">
                  <c:v>9.9999999999999999E-56</c:v>
                </c:pt>
                <c:pt idx="60">
                  <c:v>9.9999999999999999E-56</c:v>
                </c:pt>
                <c:pt idx="61">
                  <c:v>9.9999999999999999E-56</c:v>
                </c:pt>
                <c:pt idx="62">
                  <c:v>9.9999999999999999E-56</c:v>
                </c:pt>
              </c:numCache>
            </c:numRef>
          </c:yVal>
          <c:smooth val="0"/>
          <c:extLst>
            <c:ext xmlns:c16="http://schemas.microsoft.com/office/drawing/2014/chart" uri="{C3380CC4-5D6E-409C-BE32-E72D297353CC}">
              <c16:uniqueId val="{0000000D-2416-451F-80D8-0263EB459229}"/>
            </c:ext>
          </c:extLst>
        </c:ser>
        <c:ser>
          <c:idx val="14"/>
          <c:order val="14"/>
          <c:tx>
            <c:strRef>
              <c:f>CONC!$P$1</c:f>
              <c:strCache>
                <c:ptCount val="1"/>
                <c:pt idx="0">
                  <c:v>H+ </c:v>
                </c:pt>
              </c:strCache>
            </c:strRef>
          </c:tx>
          <c:xVal>
            <c:numRef>
              <c:f>CONC!$A$2:$A$64</c:f>
              <c:numCache>
                <c:formatCode>0.00E+00</c:formatCode>
                <c:ptCount val="63"/>
                <c:pt idx="0">
                  <c:v>0</c:v>
                </c:pt>
                <c:pt idx="1">
                  <c:v>1.2623599999999999</c:v>
                </c:pt>
                <c:pt idx="2">
                  <c:v>2.8906100000000001</c:v>
                </c:pt>
                <c:pt idx="3">
                  <c:v>6.7801200000000001</c:v>
                </c:pt>
                <c:pt idx="4">
                  <c:v>15.714499999999999</c:v>
                </c:pt>
                <c:pt idx="5">
                  <c:v>24.649000000000001</c:v>
                </c:pt>
                <c:pt idx="6">
                  <c:v>33.583399999999997</c:v>
                </c:pt>
                <c:pt idx="7">
                  <c:v>42.517800000000001</c:v>
                </c:pt>
                <c:pt idx="8">
                  <c:v>51.452300000000001</c:v>
                </c:pt>
                <c:pt idx="9">
                  <c:v>60.386699999999998</c:v>
                </c:pt>
                <c:pt idx="10">
                  <c:v>69.321100000000001</c:v>
                </c:pt>
                <c:pt idx="11">
                  <c:v>78.255499999999998</c:v>
                </c:pt>
                <c:pt idx="12">
                  <c:v>87.19</c:v>
                </c:pt>
                <c:pt idx="13">
                  <c:v>96.124399999999994</c:v>
                </c:pt>
                <c:pt idx="14">
                  <c:v>105.059</c:v>
                </c:pt>
                <c:pt idx="15">
                  <c:v>113.99299999999999</c:v>
                </c:pt>
                <c:pt idx="16">
                  <c:v>122.928</c:v>
                </c:pt>
                <c:pt idx="17">
                  <c:v>131.86199999999999</c:v>
                </c:pt>
                <c:pt idx="18">
                  <c:v>140.797</c:v>
                </c:pt>
                <c:pt idx="19">
                  <c:v>149.73099999999999</c:v>
                </c:pt>
                <c:pt idx="20">
                  <c:v>158.66499999999999</c:v>
                </c:pt>
                <c:pt idx="21">
                  <c:v>167.6</c:v>
                </c:pt>
                <c:pt idx="22">
                  <c:v>176.53399999999999</c:v>
                </c:pt>
                <c:pt idx="23">
                  <c:v>185.46899999999999</c:v>
                </c:pt>
                <c:pt idx="24">
                  <c:v>194.40299999999999</c:v>
                </c:pt>
                <c:pt idx="25">
                  <c:v>203.33699999999999</c:v>
                </c:pt>
                <c:pt idx="26">
                  <c:v>212.27199999999999</c:v>
                </c:pt>
                <c:pt idx="27">
                  <c:v>221.20599999999999</c:v>
                </c:pt>
                <c:pt idx="28">
                  <c:v>230.14099999999999</c:v>
                </c:pt>
                <c:pt idx="29">
                  <c:v>239.07499999999999</c:v>
                </c:pt>
                <c:pt idx="30">
                  <c:v>248.01</c:v>
                </c:pt>
                <c:pt idx="31">
                  <c:v>256.94400000000002</c:v>
                </c:pt>
                <c:pt idx="32">
                  <c:v>265.87799999999999</c:v>
                </c:pt>
                <c:pt idx="33">
                  <c:v>274.81299999999999</c:v>
                </c:pt>
                <c:pt idx="34">
                  <c:v>283.74700000000001</c:v>
                </c:pt>
                <c:pt idx="35">
                  <c:v>292.68200000000002</c:v>
                </c:pt>
                <c:pt idx="36">
                  <c:v>301.61599999999999</c:v>
                </c:pt>
                <c:pt idx="37">
                  <c:v>310.55099999999999</c:v>
                </c:pt>
                <c:pt idx="38">
                  <c:v>319.48500000000001</c:v>
                </c:pt>
                <c:pt idx="39">
                  <c:v>328.41899999999998</c:v>
                </c:pt>
                <c:pt idx="40">
                  <c:v>337.35399999999998</c:v>
                </c:pt>
                <c:pt idx="41">
                  <c:v>346.28800000000001</c:v>
                </c:pt>
                <c:pt idx="42">
                  <c:v>355.22300000000001</c:v>
                </c:pt>
                <c:pt idx="43">
                  <c:v>364.15699999999998</c:v>
                </c:pt>
                <c:pt idx="44">
                  <c:v>373.09199999999998</c:v>
                </c:pt>
                <c:pt idx="45">
                  <c:v>382.02600000000001</c:v>
                </c:pt>
                <c:pt idx="46">
                  <c:v>390.96</c:v>
                </c:pt>
                <c:pt idx="47">
                  <c:v>399.89499999999998</c:v>
                </c:pt>
                <c:pt idx="48">
                  <c:v>408.82900000000001</c:v>
                </c:pt>
                <c:pt idx="49">
                  <c:v>417.76400000000001</c:v>
                </c:pt>
                <c:pt idx="50">
                  <c:v>426.69799999999998</c:v>
                </c:pt>
                <c:pt idx="51">
                  <c:v>435.63299999999998</c:v>
                </c:pt>
                <c:pt idx="52">
                  <c:v>444.56700000000001</c:v>
                </c:pt>
                <c:pt idx="53">
                  <c:v>453.50099999999998</c:v>
                </c:pt>
                <c:pt idx="54">
                  <c:v>462.43599999999998</c:v>
                </c:pt>
                <c:pt idx="55">
                  <c:v>471.37</c:v>
                </c:pt>
                <c:pt idx="56">
                  <c:v>480.30500000000001</c:v>
                </c:pt>
                <c:pt idx="57">
                  <c:v>489.23899999999998</c:v>
                </c:pt>
                <c:pt idx="58">
                  <c:v>498.17399999999998</c:v>
                </c:pt>
                <c:pt idx="59">
                  <c:v>507.108</c:v>
                </c:pt>
                <c:pt idx="60">
                  <c:v>516.04200000000003</c:v>
                </c:pt>
                <c:pt idx="61">
                  <c:v>524.97699999999998</c:v>
                </c:pt>
                <c:pt idx="62">
                  <c:v>545</c:v>
                </c:pt>
              </c:numCache>
            </c:numRef>
          </c:xVal>
          <c:yVal>
            <c:numRef>
              <c:f>CONC!$P$2:$P$64</c:f>
              <c:numCache>
                <c:formatCode>0.00E+00</c:formatCode>
                <c:ptCount val="63"/>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numCache>
            </c:numRef>
          </c:yVal>
          <c:smooth val="0"/>
          <c:extLst>
            <c:ext xmlns:c16="http://schemas.microsoft.com/office/drawing/2014/chart" uri="{C3380CC4-5D6E-409C-BE32-E72D297353CC}">
              <c16:uniqueId val="{0000000E-2416-451F-80D8-0263EB459229}"/>
            </c:ext>
          </c:extLst>
        </c:ser>
        <c:dLbls>
          <c:showLegendKey val="0"/>
          <c:showVal val="0"/>
          <c:showCatName val="0"/>
          <c:showSerName val="0"/>
          <c:showPercent val="0"/>
          <c:showBubbleSize val="0"/>
        </c:dLbls>
        <c:axId val="2028765775"/>
        <c:axId val="2028770767"/>
      </c:scatterChart>
      <c:valAx>
        <c:axId val="2028765775"/>
        <c:scaling>
          <c:orientation val="minMax"/>
        </c:scaling>
        <c:delete val="0"/>
        <c:axPos val="b"/>
        <c:title>
          <c:tx>
            <c:rich>
              <a:bodyPr/>
              <a:lstStyle/>
              <a:p>
                <a:pPr>
                  <a:defRPr sz="1400"/>
                </a:pPr>
                <a:r>
                  <a:rPr lang="en-US"/>
                  <a:t>Time(s)</a:t>
                </a:r>
              </a:p>
            </c:rich>
          </c:tx>
          <c:overlay val="0"/>
        </c:title>
        <c:numFmt formatCode="0.00E+00" sourceLinked="1"/>
        <c:majorTickMark val="out"/>
        <c:minorTickMark val="none"/>
        <c:tickLblPos val="nextTo"/>
        <c:crossAx val="2028770767"/>
        <c:crosses val="autoZero"/>
        <c:crossBetween val="midCat"/>
      </c:valAx>
      <c:valAx>
        <c:axId val="2028770767"/>
        <c:scaling>
          <c:orientation val="minMax"/>
        </c:scaling>
        <c:delete val="0"/>
        <c:axPos val="l"/>
        <c:majorGridlines/>
        <c:title>
          <c:tx>
            <c:rich>
              <a:bodyPr/>
              <a:lstStyle/>
              <a:p>
                <a:pPr>
                  <a:defRPr sz="1400"/>
                </a:pPr>
                <a:r>
                  <a:rPr lang="en-US"/>
                  <a:t>Concentration</a:t>
                </a:r>
              </a:p>
            </c:rich>
          </c:tx>
          <c:overlay val="0"/>
        </c:title>
        <c:numFmt formatCode="0.00E+00" sourceLinked="1"/>
        <c:majorTickMark val="out"/>
        <c:minorTickMark val="none"/>
        <c:tickLblPos val="nextTo"/>
        <c:crossAx val="2028765775"/>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15DEE54E-2E52-4186-A4CF-52547168CD32}">
  <sheetPr/>
  <sheetViews>
    <sheetView zoomScale="71"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A$27"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absoluteAnchor>
    <xdr:pos x="0" y="0"/>
    <xdr:ext cx="8652993" cy="6278451"/>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612502</xdr:colOff>
      <xdr:row>13</xdr:row>
      <xdr:rowOff>32740</xdr:rowOff>
    </xdr:from>
    <xdr:to>
      <xdr:col>0</xdr:col>
      <xdr:colOff>4603477</xdr:colOff>
      <xdr:row>25</xdr:row>
      <xdr:rowOff>63499</xdr:rowOff>
    </xdr:to>
    <xdr:sp macro="" textlink="">
      <xdr:nvSpPr>
        <xdr:cNvPr id="1075" name="AutoShape 4">
          <a:extLst>
            <a:ext uri="{FF2B5EF4-FFF2-40B4-BE49-F238E27FC236}">
              <a16:creationId xmlns:a16="http://schemas.microsoft.com/office/drawing/2014/main" id="{00000000-0008-0000-0300-000033040000}"/>
            </a:ext>
          </a:extLst>
        </xdr:cNvPr>
        <xdr:cNvSpPr>
          <a:spLocks noChangeArrowheads="1"/>
        </xdr:cNvSpPr>
      </xdr:nvSpPr>
      <xdr:spPr bwMode="auto">
        <a:xfrm>
          <a:off x="612502" y="2688534"/>
          <a:ext cx="3990975" cy="1913347"/>
        </a:xfrm>
        <a:prstGeom prst="bevel">
          <a:avLst>
            <a:gd name="adj" fmla="val 12500"/>
          </a:avLst>
        </a:prstGeom>
        <a:solidFill>
          <a:srgbClr val="FFFFFF"/>
        </a:solidFill>
        <a:ln w="9525">
          <a:solidFill>
            <a:srgbClr val="000000"/>
          </a:solidFill>
          <a:miter lim="800000"/>
          <a:headEnd/>
          <a:tailEnd/>
        </a:ln>
      </xdr:spPr>
      <xdr:txBody>
        <a:bodyPr/>
        <a:lstStyle/>
        <a:p>
          <a:r>
            <a:rPr lang="ko-KR" altLang="en-US"/>
            <a:t>         </a:t>
          </a:r>
        </a:p>
      </xdr:txBody>
    </xdr:sp>
    <xdr:clientData fPrintsWithSheet="0"/>
  </xdr:twoCellAnchor>
  <xdr:twoCellAnchor>
    <xdr:from>
      <xdr:col>1</xdr:col>
      <xdr:colOff>390525</xdr:colOff>
      <xdr:row>8</xdr:row>
      <xdr:rowOff>133350</xdr:rowOff>
    </xdr:from>
    <xdr:to>
      <xdr:col>2</xdr:col>
      <xdr:colOff>295275</xdr:colOff>
      <xdr:row>21</xdr:row>
      <xdr:rowOff>142875</xdr:rowOff>
    </xdr:to>
    <xdr:sp macro="" textlink="">
      <xdr:nvSpPr>
        <xdr:cNvPr id="1042" name="WordArt 18" descr="Paper bag">
          <a:extLst>
            <a:ext uri="{FF2B5EF4-FFF2-40B4-BE49-F238E27FC236}">
              <a16:creationId xmlns:a16="http://schemas.microsoft.com/office/drawing/2014/main" id="{00000000-0008-0000-0300-000012040000}"/>
            </a:ext>
          </a:extLst>
        </xdr:cNvPr>
        <xdr:cNvSpPr>
          <a:spLocks noChangeArrowheads="1" noChangeShapeType="1" noTextEdit="1"/>
        </xdr:cNvSpPr>
      </xdr:nvSpPr>
      <xdr:spPr bwMode="auto">
        <a:xfrm rot="5400000">
          <a:off x="5379060" y="2799984"/>
          <a:ext cx="2260356" cy="514350"/>
        </a:xfrm>
        <a:prstGeom prst="rect">
          <a:avLst/>
        </a:prstGeom>
      </xdr:spPr>
      <xdr:txBody>
        <a:bodyPr wrap="none" fromWordArt="1">
          <a:prstTxWarp prst="textPlain">
            <a:avLst>
              <a:gd name="adj" fmla="val 50000"/>
            </a:avLst>
          </a:prstTxWarp>
        </a:bodyPr>
        <a:lstStyle/>
        <a:p>
          <a:pPr algn="ctr" rtl="0"/>
          <a:r>
            <a:rPr lang="en-AU" sz="3600" kern="10" spc="0">
              <a:ln w="9525">
                <a:solidFill>
                  <a:srgbClr val="008000"/>
                </a:solidFill>
                <a:round/>
                <a:headEnd/>
                <a:tailEnd/>
              </a:ln>
              <a:blipFill dpi="0" rotWithShape="0">
                <a:blip xmlns:r="http://schemas.openxmlformats.org/officeDocument/2006/relationships" r:embed="rId1"/>
                <a:srcRect/>
                <a:tile tx="0" ty="0" sx="100000" sy="100000" flip="none" algn="tl"/>
              </a:blipFill>
              <a:effectLst>
                <a:outerShdw dist="563972" dir="14049741" sx="125000" sy="125000" algn="tl" rotWithShape="0">
                  <a:srgbClr val="C7DFD3"/>
                </a:outerShdw>
              </a:effectLst>
              <a:latin typeface="Times New Roman"/>
              <a:cs typeface="Times New Roman"/>
            </a:rPr>
            <a:t>KINTECUS</a:t>
          </a:r>
        </a:p>
      </xdr:txBody>
    </xdr:sp>
    <xdr:clientData/>
  </xdr:twoCellAnchor>
  <mc:AlternateContent xmlns:mc="http://schemas.openxmlformats.org/markup-compatibility/2006">
    <mc:Choice xmlns:a14="http://schemas.microsoft.com/office/drawing/2010/main" Requires="a14">
      <xdr:twoCellAnchor>
        <xdr:from>
          <xdr:col>0</xdr:col>
          <xdr:colOff>1828800</xdr:colOff>
          <xdr:row>15</xdr:row>
          <xdr:rowOff>66675</xdr:rowOff>
        </xdr:from>
        <xdr:to>
          <xdr:col>0</xdr:col>
          <xdr:colOff>3000375</xdr:colOff>
          <xdr:row>17</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2047875</xdr:colOff>
          <xdr:row>18</xdr:row>
          <xdr:rowOff>104775</xdr:rowOff>
        </xdr:from>
        <xdr:to>
          <xdr:col>0</xdr:col>
          <xdr:colOff>2771775</xdr:colOff>
          <xdr:row>20</xdr:row>
          <xdr:rowOff>104775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Plot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1323975</xdr:colOff>
          <xdr:row>21</xdr:row>
          <xdr:rowOff>104775</xdr:rowOff>
        </xdr:from>
        <xdr:to>
          <xdr:col>0</xdr:col>
          <xdr:colOff>3571875</xdr:colOff>
          <xdr:row>23</xdr:row>
          <xdr:rowOff>28575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Make Species Spreadsheet from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25</xdr:row>
          <xdr:rowOff>114300</xdr:rowOff>
        </xdr:from>
        <xdr:to>
          <xdr:col>0</xdr:col>
          <xdr:colOff>2009775</xdr:colOff>
          <xdr:row>27</xdr:row>
          <xdr:rowOff>28575</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3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 am using the German/Russian version of Excel =</a:t>
              </a:r>
            </a:p>
          </xdr:txBody>
        </xdr:sp>
        <xdr:clientData/>
      </xdr:twoCellAnchor>
    </mc:Choice>
    <mc:Fallback/>
  </mc:AlternateContent>
  <xdr:twoCellAnchor>
    <xdr:from>
      <xdr:col>0</xdr:col>
      <xdr:colOff>5479676</xdr:colOff>
      <xdr:row>5</xdr:row>
      <xdr:rowOff>168088</xdr:rowOff>
    </xdr:from>
    <xdr:to>
      <xdr:col>10</xdr:col>
      <xdr:colOff>212912</xdr:colOff>
      <xdr:row>18</xdr:row>
      <xdr:rowOff>145676</xdr:rowOff>
    </xdr:to>
    <xdr:sp macro="" textlink="">
      <xdr:nvSpPr>
        <xdr:cNvPr id="2" name="TextBox 1">
          <a:extLst>
            <a:ext uri="{FF2B5EF4-FFF2-40B4-BE49-F238E27FC236}">
              <a16:creationId xmlns:a16="http://schemas.microsoft.com/office/drawing/2014/main" id="{26413690-51D4-4785-9212-244AE5C133C7}"/>
            </a:ext>
          </a:extLst>
        </xdr:cNvPr>
        <xdr:cNvSpPr txBox="1"/>
      </xdr:nvSpPr>
      <xdr:spPr>
        <a:xfrm>
          <a:off x="5479676" y="1311088"/>
          <a:ext cx="5670177" cy="2274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two kinetic models simulate the experimental results for the halogen oxidant decomposition, probe compound degradation, and formation of ClO3</a:t>
          </a:r>
          <a:r>
            <a:rPr lang="en-US" sz="1400" baseline="30000"/>
            <a:t>–</a:t>
          </a:r>
          <a:r>
            <a:rPr lang="en-US" sz="1400"/>
            <a:t> and BrO3</a:t>
          </a:r>
          <a:r>
            <a:rPr lang="en-US" sz="1400" baseline="30000"/>
            <a:t>–</a:t>
          </a:r>
          <a:r>
            <a:rPr lang="en-US" sz="1400"/>
            <a:t>. </a:t>
          </a:r>
        </a:p>
        <a:p>
          <a:r>
            <a:rPr lang="en-US" sz="1400"/>
            <a:t>This water purification related model is from</a:t>
          </a:r>
          <a:r>
            <a:rPr lang="en-US" sz="1400" b="1"/>
            <a:t>,"Mechanistic and Kinetic Understanding of the UV254 Photolysis of Chlorine and Bromine Species in Water and Formation of Oxyhalides" Woorim </a:t>
          </a:r>
          <a:r>
            <a:rPr lang="en-US" sz="1400"/>
            <a:t>Lee, Yuri Lee, Sebastien Allard, Jiwoon Ra, Seunghee Han, and Yunho Lee, </a:t>
          </a:r>
          <a:r>
            <a:rPr lang="en-US" sz="1400" b="1"/>
            <a:t>Environ. Sci. Technol</a:t>
          </a:r>
          <a:r>
            <a:rPr lang="en-US" sz="1400"/>
            <a:t>. </a:t>
          </a:r>
          <a:r>
            <a:rPr lang="en-US" sz="1400" b="1"/>
            <a:t>2020</a:t>
          </a:r>
          <a:r>
            <a:rPr lang="en-US" sz="1400"/>
            <a:t>, 54, 18,</a:t>
          </a:r>
        </a:p>
        <a:p>
          <a:r>
            <a:rPr lang="en-US" sz="1400"/>
            <a:t>https://doi.org/10.1021/acs.est.0c02698</a:t>
          </a:r>
        </a:p>
        <a:p>
          <a:endParaRPr lang="en-US" sz="110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A15"/>
  <sheetViews>
    <sheetView topLeftCell="A11" zoomScale="130" zoomScaleNormal="130" workbookViewId="0">
      <selection activeCell="A12" sqref="A12"/>
    </sheetView>
  </sheetViews>
  <sheetFormatPr defaultColWidth="8.7109375" defaultRowHeight="12.75"/>
  <cols>
    <col min="1" max="1" width="78.7109375" customWidth="1"/>
  </cols>
  <sheetData>
    <row r="1" spans="1:1" ht="18.75" thickBot="1">
      <c r="A1" s="49" t="s">
        <v>52</v>
      </c>
    </row>
    <row r="2" spans="1:1">
      <c r="A2" s="50"/>
    </row>
    <row r="3" spans="1:1" ht="63.75">
      <c r="A3" s="51" t="s">
        <v>53</v>
      </c>
    </row>
    <row r="4" spans="1:1" ht="25.5">
      <c r="A4" s="52" t="s">
        <v>54</v>
      </c>
    </row>
    <row r="5" spans="1:1" ht="25.5">
      <c r="A5" s="51" t="s">
        <v>55</v>
      </c>
    </row>
    <row r="6" spans="1:1" ht="25.5">
      <c r="A6" s="51" t="s">
        <v>56</v>
      </c>
    </row>
    <row r="7" spans="1:1" ht="25.5">
      <c r="A7" s="51" t="s">
        <v>57</v>
      </c>
    </row>
    <row r="8" spans="1:1" ht="51">
      <c r="A8" s="51" t="s">
        <v>58</v>
      </c>
    </row>
    <row r="9" spans="1:1" ht="13.5" thickBot="1">
      <c r="A9" s="53" t="s">
        <v>59</v>
      </c>
    </row>
    <row r="10" spans="1:1" ht="39" thickBot="1">
      <c r="A10" s="54" t="s">
        <v>60</v>
      </c>
    </row>
    <row r="11" spans="1:1" ht="115.5" thickBot="1">
      <c r="A11" s="54" t="s">
        <v>61</v>
      </c>
    </row>
    <row r="12" spans="1:1" ht="39" thickBot="1">
      <c r="A12" s="54" t="s">
        <v>194</v>
      </c>
    </row>
    <row r="13" spans="1:1" ht="51.75" thickBot="1">
      <c r="A13" s="54" t="s">
        <v>100</v>
      </c>
    </row>
    <row r="14" spans="1:1" ht="26.25" thickBot="1">
      <c r="A14" s="54" t="s">
        <v>104</v>
      </c>
    </row>
    <row r="15" spans="1:1" ht="26.25" thickBot="1">
      <c r="A15" s="54" t="s">
        <v>105</v>
      </c>
    </row>
  </sheetData>
  <phoneticPr fontId="0"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BF7FD-A861-4E80-9D9B-47E2DC0E3866}">
  <dimension ref="A1:P64"/>
  <sheetViews>
    <sheetView workbookViewId="0">
      <selection sqref="A1:A1048576"/>
    </sheetView>
  </sheetViews>
  <sheetFormatPr defaultRowHeight="12.75"/>
  <sheetData>
    <row r="1" spans="1:16">
      <c r="A1" t="s">
        <v>46</v>
      </c>
      <c r="B1" t="s">
        <v>219</v>
      </c>
      <c r="C1" t="s">
        <v>187</v>
      </c>
      <c r="D1" t="s">
        <v>188</v>
      </c>
      <c r="E1" t="s">
        <v>220</v>
      </c>
      <c r="F1" t="s">
        <v>200</v>
      </c>
      <c r="G1" t="s">
        <v>320</v>
      </c>
      <c r="H1" t="s">
        <v>321</v>
      </c>
      <c r="I1" t="s">
        <v>221</v>
      </c>
      <c r="J1" t="s">
        <v>222</v>
      </c>
      <c r="K1" t="s">
        <v>322</v>
      </c>
      <c r="L1" t="s">
        <v>196</v>
      </c>
      <c r="M1" t="s">
        <v>191</v>
      </c>
      <c r="N1" t="s">
        <v>323</v>
      </c>
      <c r="O1" t="s">
        <v>324</v>
      </c>
      <c r="P1" t="s">
        <v>120</v>
      </c>
    </row>
    <row r="2" spans="1:16">
      <c r="A2" s="47">
        <v>0</v>
      </c>
      <c r="B2" s="47">
        <v>0</v>
      </c>
      <c r="C2" s="47">
        <v>0</v>
      </c>
      <c r="D2" s="47">
        <v>0</v>
      </c>
      <c r="E2" s="47">
        <v>1.3999999999999999E-4</v>
      </c>
      <c r="F2" s="47">
        <v>0</v>
      </c>
      <c r="G2" s="47">
        <v>2.4360000000000001E-4</v>
      </c>
      <c r="H2" s="47">
        <v>0</v>
      </c>
      <c r="I2" s="47">
        <v>0</v>
      </c>
      <c r="J2" s="47">
        <v>2.003E-5</v>
      </c>
      <c r="K2" s="47">
        <v>0</v>
      </c>
      <c r="L2" s="47">
        <v>4.9999999999999998E-7</v>
      </c>
      <c r="M2" s="47">
        <v>4.9999999999999998E-7</v>
      </c>
      <c r="N2" s="47">
        <v>0</v>
      </c>
      <c r="O2" s="47">
        <v>0</v>
      </c>
      <c r="P2" s="47">
        <v>9.9999999999999995E-7</v>
      </c>
    </row>
    <row r="3" spans="1:16">
      <c r="A3" s="47">
        <v>1.2623599999999999</v>
      </c>
      <c r="B3" s="47">
        <v>1.3551599999999999E-4</v>
      </c>
      <c r="C3" s="47">
        <v>4.0229599999999997E-12</v>
      </c>
      <c r="D3" s="47">
        <v>1.32672E-13</v>
      </c>
      <c r="E3" s="47">
        <v>4.2854100000000004E-6</v>
      </c>
      <c r="F3" s="47">
        <v>4.6688400000000001E-19</v>
      </c>
      <c r="G3" s="47">
        <v>2.4374499999999999E-4</v>
      </c>
      <c r="H3" s="47">
        <v>1.8895199999999998E-12</v>
      </c>
      <c r="I3" s="47">
        <v>4.5511700000000001E-9</v>
      </c>
      <c r="J3" s="47">
        <v>2.0066499999999998E-5</v>
      </c>
      <c r="K3" s="47">
        <v>9.9999999999999999E-56</v>
      </c>
      <c r="L3" s="47">
        <v>4.75132E-7</v>
      </c>
      <c r="M3" s="47">
        <v>4.9046499999999999E-7</v>
      </c>
      <c r="N3" s="47">
        <v>3.9445500000000001E-10</v>
      </c>
      <c r="O3" s="47">
        <v>9.9999999999999999E-56</v>
      </c>
      <c r="P3" s="47">
        <v>9.9999999999999995E-7</v>
      </c>
    </row>
    <row r="4" spans="1:16">
      <c r="A4" s="47">
        <v>2.8906100000000001</v>
      </c>
      <c r="B4" s="47">
        <v>1.35279E-4</v>
      </c>
      <c r="C4" s="47">
        <v>4.0452099999999999E-12</v>
      </c>
      <c r="D4" s="47">
        <v>1.32656E-13</v>
      </c>
      <c r="E4" s="47">
        <v>4.2779000000000002E-6</v>
      </c>
      <c r="F4" s="47">
        <v>4.6674599999999997E-19</v>
      </c>
      <c r="G4" s="47">
        <v>2.4393099999999999E-4</v>
      </c>
      <c r="H4" s="47">
        <v>1.89077E-12</v>
      </c>
      <c r="I4" s="47">
        <v>4.55473E-9</v>
      </c>
      <c r="J4" s="47">
        <v>2.0122000000000001E-5</v>
      </c>
      <c r="K4" s="47">
        <v>9.9999999999999999E-56</v>
      </c>
      <c r="L4" s="47">
        <v>4.53938E-7</v>
      </c>
      <c r="M4" s="47">
        <v>4.7837399999999997E-7</v>
      </c>
      <c r="N4" s="47">
        <v>8.8236900000000002E-10</v>
      </c>
      <c r="O4" s="47">
        <v>9.9999999999999999E-56</v>
      </c>
      <c r="P4" s="47">
        <v>9.9999999999999995E-7</v>
      </c>
    </row>
    <row r="5" spans="1:16">
      <c r="A5" s="47">
        <v>6.7801200000000001</v>
      </c>
      <c r="B5" s="47">
        <v>1.3471199999999999E-4</v>
      </c>
      <c r="C5" s="47">
        <v>4.0964199999999996E-12</v>
      </c>
      <c r="D5" s="47">
        <v>1.3260800000000001E-13</v>
      </c>
      <c r="E5" s="47">
        <v>4.2599700000000003E-6</v>
      </c>
      <c r="F5" s="47">
        <v>4.6637399999999996E-19</v>
      </c>
      <c r="G5" s="47">
        <v>2.4437500000000002E-4</v>
      </c>
      <c r="H5" s="47">
        <v>1.8936200000000002E-12</v>
      </c>
      <c r="I5" s="47">
        <v>4.5648200000000004E-9</v>
      </c>
      <c r="J5" s="47">
        <v>2.0255199999999999E-5</v>
      </c>
      <c r="K5" s="47">
        <v>9.9999999999999999E-56</v>
      </c>
      <c r="L5" s="47">
        <v>4.0671400000000002E-7</v>
      </c>
      <c r="M5" s="47">
        <v>4.5043899999999997E-7</v>
      </c>
      <c r="N5" s="47">
        <v>1.95951E-9</v>
      </c>
      <c r="O5" s="47">
        <v>9.9999999999999999E-56</v>
      </c>
      <c r="P5" s="47">
        <v>9.9999999999999995E-7</v>
      </c>
    </row>
    <row r="6" spans="1:16">
      <c r="A6" s="47">
        <v>15.714499999999999</v>
      </c>
      <c r="B6" s="47">
        <v>1.3341399999999999E-4</v>
      </c>
      <c r="C6" s="47">
        <v>4.2038700000000003E-12</v>
      </c>
      <c r="D6" s="47">
        <v>1.32443E-13</v>
      </c>
      <c r="E6" s="47">
        <v>4.2189399999999998E-6</v>
      </c>
      <c r="F6" s="47">
        <v>4.65292E-19</v>
      </c>
      <c r="G6" s="47">
        <v>2.4539100000000002E-4</v>
      </c>
      <c r="H6" s="47">
        <v>1.8993300000000001E-12</v>
      </c>
      <c r="I6" s="47">
        <v>4.5829899999999997E-9</v>
      </c>
      <c r="J6" s="47">
        <v>2.0562999999999999E-5</v>
      </c>
      <c r="K6" s="47">
        <v>9.9999999999999999E-56</v>
      </c>
      <c r="L6" s="47">
        <v>3.1468299999999999E-7</v>
      </c>
      <c r="M6" s="47">
        <v>3.9122399999999998E-7</v>
      </c>
      <c r="N6" s="47">
        <v>4.01984E-9</v>
      </c>
      <c r="O6" s="47">
        <v>9.9999999999999999E-56</v>
      </c>
      <c r="P6" s="47">
        <v>9.9999999999999995E-7</v>
      </c>
    </row>
    <row r="7" spans="1:16">
      <c r="A7" s="47">
        <v>24.649000000000001</v>
      </c>
      <c r="B7" s="47">
        <v>1.32123E-4</v>
      </c>
      <c r="C7" s="47">
        <v>4.2976500000000004E-12</v>
      </c>
      <c r="D7" s="47">
        <v>1.3221199999999999E-13</v>
      </c>
      <c r="E7" s="47">
        <v>4.1780999999999999E-6</v>
      </c>
      <c r="F7" s="47">
        <v>4.6391000000000002E-19</v>
      </c>
      <c r="G7" s="47">
        <v>2.46402E-4</v>
      </c>
      <c r="H7" s="47">
        <v>1.9040299999999999E-12</v>
      </c>
      <c r="I7" s="47">
        <v>4.5947000000000003E-9</v>
      </c>
      <c r="J7" s="47">
        <v>2.0872900000000001E-5</v>
      </c>
      <c r="K7" s="47">
        <v>9.9999999999999999E-56</v>
      </c>
      <c r="L7" s="47">
        <v>2.4220100000000001E-7</v>
      </c>
      <c r="M7" s="47">
        <v>3.3863699999999999E-7</v>
      </c>
      <c r="N7" s="47">
        <v>5.60695E-9</v>
      </c>
      <c r="O7" s="47">
        <v>9.9999999999999999E-56</v>
      </c>
      <c r="P7" s="47">
        <v>9.9999999999999995E-7</v>
      </c>
    </row>
    <row r="8" spans="1:16">
      <c r="A8" s="47">
        <v>33.583399999999997</v>
      </c>
      <c r="B8" s="47">
        <v>1.30839E-4</v>
      </c>
      <c r="C8" s="47">
        <v>4.3787799999999996E-12</v>
      </c>
      <c r="D8" s="47">
        <v>1.3192600000000001E-13</v>
      </c>
      <c r="E8" s="47">
        <v>4.1374899999999999E-6</v>
      </c>
      <c r="F8" s="47">
        <v>4.6225499999999995E-19</v>
      </c>
      <c r="G8" s="47">
        <v>2.4740599999999998E-4</v>
      </c>
      <c r="H8" s="47">
        <v>1.90787E-12</v>
      </c>
      <c r="I8" s="47">
        <v>4.6007200000000002E-9</v>
      </c>
      <c r="J8" s="47">
        <v>2.1183999999999999E-5</v>
      </c>
      <c r="K8" s="47">
        <v>9.9999999999999999E-56</v>
      </c>
      <c r="L8" s="47">
        <v>1.8557099999999999E-7</v>
      </c>
      <c r="M8" s="47">
        <v>2.9224900000000001E-7</v>
      </c>
      <c r="N8" s="47">
        <v>6.8243299999999997E-9</v>
      </c>
      <c r="O8" s="47">
        <v>9.9999999999999999E-56</v>
      </c>
      <c r="P8" s="47">
        <v>9.9999999999999995E-7</v>
      </c>
    </row>
    <row r="9" spans="1:16">
      <c r="A9" s="47">
        <v>42.517800000000001</v>
      </c>
      <c r="B9" s="47">
        <v>1.2956299999999999E-4</v>
      </c>
      <c r="C9" s="47">
        <v>4.4485400000000003E-12</v>
      </c>
      <c r="D9" s="47">
        <v>1.31597E-13</v>
      </c>
      <c r="E9" s="47">
        <v>4.0971299999999997E-6</v>
      </c>
      <c r="F9" s="47">
        <v>4.6035799999999997E-19</v>
      </c>
      <c r="G9" s="47">
        <v>2.4840399999999998E-4</v>
      </c>
      <c r="H9" s="47">
        <v>1.91098E-12</v>
      </c>
      <c r="I9" s="47">
        <v>4.6018000000000004E-9</v>
      </c>
      <c r="J9" s="47">
        <v>2.1495500000000001E-5</v>
      </c>
      <c r="K9" s="47">
        <v>9.9999999999999999E-56</v>
      </c>
      <c r="L9" s="47">
        <v>1.4163300000000001E-7</v>
      </c>
      <c r="M9" s="47">
        <v>2.5157200000000002E-7</v>
      </c>
      <c r="N9" s="47">
        <v>7.7528300000000004E-9</v>
      </c>
      <c r="O9" s="47">
        <v>9.9999999999999999E-56</v>
      </c>
      <c r="P9" s="47">
        <v>9.9999999999999995E-7</v>
      </c>
    </row>
    <row r="10" spans="1:16">
      <c r="A10" s="47">
        <v>51.452300000000001</v>
      </c>
      <c r="B10" s="47">
        <v>1.28295E-4</v>
      </c>
      <c r="C10" s="47">
        <v>4.5083299999999996E-12</v>
      </c>
      <c r="D10" s="47">
        <v>1.3123200000000001E-13</v>
      </c>
      <c r="E10" s="47">
        <v>4.0570600000000003E-6</v>
      </c>
      <c r="F10" s="47">
        <v>4.5825300000000003E-19</v>
      </c>
      <c r="G10" s="47">
        <v>2.4939500000000002E-4</v>
      </c>
      <c r="H10" s="47">
        <v>1.91348E-12</v>
      </c>
      <c r="I10" s="47">
        <v>4.5986800000000001E-9</v>
      </c>
      <c r="J10" s="47">
        <v>2.18069E-5</v>
      </c>
      <c r="K10" s="47">
        <v>9.9999999999999999E-56</v>
      </c>
      <c r="L10" s="47">
        <v>1.07742E-7</v>
      </c>
      <c r="M10" s="47">
        <v>2.1608199999999999E-7</v>
      </c>
      <c r="N10" s="47">
        <v>8.4556700000000004E-9</v>
      </c>
      <c r="O10" s="47">
        <v>9.9999999999999999E-56</v>
      </c>
      <c r="P10" s="47">
        <v>9.9999999999999995E-7</v>
      </c>
    </row>
    <row r="11" spans="1:16">
      <c r="A11" s="47">
        <v>60.386699999999998</v>
      </c>
      <c r="B11" s="47">
        <v>1.2703700000000001E-4</v>
      </c>
      <c r="C11" s="47">
        <v>4.5594999999999997E-12</v>
      </c>
      <c r="D11" s="47">
        <v>1.3083800000000001E-13</v>
      </c>
      <c r="E11" s="47">
        <v>4.0172700000000001E-6</v>
      </c>
      <c r="F11" s="47">
        <v>4.5597499999999999E-19</v>
      </c>
      <c r="G11" s="47">
        <v>2.5037799999999999E-4</v>
      </c>
      <c r="H11" s="47">
        <v>1.91546E-12</v>
      </c>
      <c r="I11" s="47">
        <v>4.5920500000000001E-9</v>
      </c>
      <c r="J11" s="47">
        <v>2.21177E-5</v>
      </c>
      <c r="K11" s="47">
        <v>9.9999999999999999E-56</v>
      </c>
      <c r="L11" s="47">
        <v>8.1732200000000004E-8</v>
      </c>
      <c r="M11" s="47">
        <v>1.8524999999999999E-7</v>
      </c>
      <c r="N11" s="47">
        <v>8.9822800000000005E-9</v>
      </c>
      <c r="O11" s="47">
        <v>9.9999999999999999E-56</v>
      </c>
      <c r="P11" s="47">
        <v>9.9999999999999995E-7</v>
      </c>
    </row>
    <row r="12" spans="1:16">
      <c r="A12" s="47">
        <v>69.321100000000001</v>
      </c>
      <c r="B12" s="47">
        <v>1.2578900000000001E-4</v>
      </c>
      <c r="C12" s="47">
        <v>4.6033599999999999E-12</v>
      </c>
      <c r="D12" s="47">
        <v>1.3042200000000001E-13</v>
      </c>
      <c r="E12" s="47">
        <v>3.9778000000000003E-6</v>
      </c>
      <c r="F12" s="47">
        <v>4.5355299999999997E-19</v>
      </c>
      <c r="G12" s="47">
        <v>2.5135400000000002E-4</v>
      </c>
      <c r="H12" s="47">
        <v>1.9170100000000001E-12</v>
      </c>
      <c r="I12" s="47">
        <v>4.5825099999999997E-9</v>
      </c>
      <c r="J12" s="47">
        <v>2.2427300000000001E-5</v>
      </c>
      <c r="K12" s="47">
        <v>9.9999999999999999E-56</v>
      </c>
      <c r="L12" s="47">
        <v>6.1855299999999997E-8</v>
      </c>
      <c r="M12" s="47">
        <v>1.5856100000000001E-7</v>
      </c>
      <c r="N12" s="47">
        <v>9.3712600000000002E-9</v>
      </c>
      <c r="O12" s="47">
        <v>9.9999999999999999E-56</v>
      </c>
      <c r="P12" s="47">
        <v>9.9999999999999995E-7</v>
      </c>
    </row>
    <row r="13" spans="1:16">
      <c r="A13" s="47">
        <v>78.255499999999998</v>
      </c>
      <c r="B13" s="47">
        <v>1.2455100000000001E-4</v>
      </c>
      <c r="C13" s="47">
        <v>4.6410700000000001E-12</v>
      </c>
      <c r="D13" s="47">
        <v>1.2998799999999999E-13</v>
      </c>
      <c r="E13" s="47">
        <v>3.93865E-6</v>
      </c>
      <c r="F13" s="47">
        <v>4.5101700000000003E-19</v>
      </c>
      <c r="G13" s="47">
        <v>2.5232E-4</v>
      </c>
      <c r="H13" s="47">
        <v>1.9181799999999998E-12</v>
      </c>
      <c r="I13" s="47">
        <v>4.5705999999999999E-9</v>
      </c>
      <c r="J13" s="47">
        <v>2.27356E-5</v>
      </c>
      <c r="K13" s="47">
        <v>9.9999999999999999E-56</v>
      </c>
      <c r="L13" s="47">
        <v>4.6719000000000003E-8</v>
      </c>
      <c r="M13" s="47">
        <v>1.35531E-7</v>
      </c>
      <c r="N13" s="47">
        <v>9.6528400000000008E-9</v>
      </c>
      <c r="O13" s="47">
        <v>9.9999999999999999E-56</v>
      </c>
      <c r="P13" s="47">
        <v>9.9999999999999995E-7</v>
      </c>
    </row>
    <row r="14" spans="1:16">
      <c r="A14" s="47">
        <v>87.19</v>
      </c>
      <c r="B14" s="47">
        <v>1.23323E-4</v>
      </c>
      <c r="C14" s="47">
        <v>4.6736599999999997E-12</v>
      </c>
      <c r="D14" s="47">
        <v>1.2954099999999999E-13</v>
      </c>
      <c r="E14" s="47">
        <v>3.8998299999999999E-6</v>
      </c>
      <c r="F14" s="47">
        <v>4.4839000000000003E-19</v>
      </c>
      <c r="G14" s="47">
        <v>2.5327900000000003E-4</v>
      </c>
      <c r="H14" s="47">
        <v>1.9190300000000002E-12</v>
      </c>
      <c r="I14" s="47">
        <v>4.5567499999999996E-9</v>
      </c>
      <c r="J14" s="47">
        <v>2.3042000000000001E-5</v>
      </c>
      <c r="K14" s="47">
        <v>9.9999999999999999E-56</v>
      </c>
      <c r="L14" s="47">
        <v>3.5226900000000003E-8</v>
      </c>
      <c r="M14" s="47">
        <v>1.1570700000000001E-7</v>
      </c>
      <c r="N14" s="47">
        <v>9.8506099999999998E-9</v>
      </c>
      <c r="O14" s="47">
        <v>9.9999999999999999E-56</v>
      </c>
      <c r="P14" s="47">
        <v>9.9999999999999995E-7</v>
      </c>
    </row>
    <row r="15" spans="1:16">
      <c r="A15" s="47">
        <v>96.124399999999994</v>
      </c>
      <c r="B15" s="47">
        <v>1.2210699999999999E-4</v>
      </c>
      <c r="C15" s="47">
        <v>4.702E-12</v>
      </c>
      <c r="D15" s="47">
        <v>1.2908200000000001E-13</v>
      </c>
      <c r="E15" s="47">
        <v>3.8613499999999999E-6</v>
      </c>
      <c r="F15" s="47">
        <v>4.45695E-19</v>
      </c>
      <c r="G15" s="47">
        <v>2.5422800000000001E-4</v>
      </c>
      <c r="H15" s="47">
        <v>1.9196E-12</v>
      </c>
      <c r="I15" s="47">
        <v>4.5413499999999998E-9</v>
      </c>
      <c r="J15" s="47">
        <v>2.3346600000000001E-5</v>
      </c>
      <c r="K15" s="47">
        <v>9.9999999999999999E-56</v>
      </c>
      <c r="L15" s="47">
        <v>2.65234E-8</v>
      </c>
      <c r="M15" s="47">
        <v>9.8681499999999996E-8</v>
      </c>
      <c r="N15" s="47">
        <v>9.9830500000000002E-9</v>
      </c>
      <c r="O15" s="47">
        <v>9.9999999999999999E-56</v>
      </c>
      <c r="P15" s="47">
        <v>9.9999999999999995E-7</v>
      </c>
    </row>
    <row r="16" spans="1:16">
      <c r="A16" s="47">
        <v>105.059</v>
      </c>
      <c r="B16" s="47">
        <v>1.209E-4</v>
      </c>
      <c r="C16" s="47">
        <v>4.7268500000000002E-12</v>
      </c>
      <c r="D16" s="47">
        <v>1.28615E-13</v>
      </c>
      <c r="E16" s="47">
        <v>3.8232099999999999E-6</v>
      </c>
      <c r="F16" s="47">
        <v>4.4294800000000003E-19</v>
      </c>
      <c r="G16" s="47">
        <v>2.5516900000000002E-4</v>
      </c>
      <c r="H16" s="47">
        <v>1.9199200000000002E-12</v>
      </c>
      <c r="I16" s="47">
        <v>4.5247000000000003E-9</v>
      </c>
      <c r="J16" s="47">
        <v>2.3649E-5</v>
      </c>
      <c r="K16" s="47">
        <v>9.9999999999999999E-56</v>
      </c>
      <c r="L16" s="47">
        <v>1.9945699999999999E-8</v>
      </c>
      <c r="M16" s="47">
        <v>8.4085099999999994E-8</v>
      </c>
      <c r="N16" s="47">
        <v>1.0064599999999999E-8</v>
      </c>
      <c r="O16" s="47">
        <v>9.9999999999999999E-56</v>
      </c>
      <c r="P16" s="47">
        <v>9.9999999999999995E-7</v>
      </c>
    </row>
    <row r="17" spans="1:16">
      <c r="A17" s="47">
        <v>113.99299999999999</v>
      </c>
      <c r="B17" s="47">
        <v>1.1970500000000001E-4</v>
      </c>
      <c r="C17" s="47">
        <v>4.7488100000000002E-12</v>
      </c>
      <c r="D17" s="47">
        <v>1.2814099999999999E-13</v>
      </c>
      <c r="E17" s="47">
        <v>3.7854199999999999E-6</v>
      </c>
      <c r="F17" s="47">
        <v>4.4016400000000003E-19</v>
      </c>
      <c r="G17" s="47">
        <v>2.5610100000000001E-4</v>
      </c>
      <c r="H17" s="47">
        <v>1.9200299999999998E-12</v>
      </c>
      <c r="I17" s="47">
        <v>4.5070600000000004E-9</v>
      </c>
      <c r="J17" s="47">
        <v>2.3949000000000001E-5</v>
      </c>
      <c r="K17" s="47">
        <v>9.9999999999999999E-56</v>
      </c>
      <c r="L17" s="47">
        <v>1.4983299999999999E-8</v>
      </c>
      <c r="M17" s="47">
        <v>7.1590999999999996E-8</v>
      </c>
      <c r="N17" s="47">
        <v>1.01065E-8</v>
      </c>
      <c r="O17" s="47">
        <v>9.9999999999999999E-56</v>
      </c>
      <c r="P17" s="47">
        <v>9.9999999999999995E-7</v>
      </c>
    </row>
    <row r="18" spans="1:16">
      <c r="A18" s="47">
        <v>122.928</v>
      </c>
      <c r="B18" s="47">
        <v>1.18521E-4</v>
      </c>
      <c r="C18" s="47">
        <v>4.7684099999999999E-12</v>
      </c>
      <c r="D18" s="47">
        <v>1.27662E-13</v>
      </c>
      <c r="E18" s="47">
        <v>3.74797E-6</v>
      </c>
      <c r="F18" s="47">
        <v>4.3735599999999999E-19</v>
      </c>
      <c r="G18" s="47">
        <v>2.5702500000000003E-4</v>
      </c>
      <c r="H18" s="47">
        <v>1.9199299999999999E-12</v>
      </c>
      <c r="I18" s="47">
        <v>4.48863E-9</v>
      </c>
      <c r="J18" s="47">
        <v>2.42468E-5</v>
      </c>
      <c r="K18" s="47">
        <v>9.9999999999999999E-56</v>
      </c>
      <c r="L18" s="47">
        <v>1.12452E-8</v>
      </c>
      <c r="M18" s="47">
        <v>6.0910400000000003E-8</v>
      </c>
      <c r="N18" s="47">
        <v>1.01176E-8</v>
      </c>
      <c r="O18" s="47">
        <v>9.9999999999999999E-56</v>
      </c>
      <c r="P18" s="47">
        <v>9.9999999999999995E-7</v>
      </c>
    </row>
    <row r="19" spans="1:16">
      <c r="A19" s="47">
        <v>131.86199999999999</v>
      </c>
      <c r="B19" s="47">
        <v>1.17348E-4</v>
      </c>
      <c r="C19" s="47">
        <v>4.7860800000000001E-12</v>
      </c>
      <c r="D19" s="47">
        <v>1.27179E-13</v>
      </c>
      <c r="E19" s="47">
        <v>3.7108800000000002E-6</v>
      </c>
      <c r="F19" s="47">
        <v>4.3453300000000005E-19</v>
      </c>
      <c r="G19" s="47">
        <v>2.57939E-4</v>
      </c>
      <c r="H19" s="47">
        <v>1.9196499999999998E-12</v>
      </c>
      <c r="I19" s="47">
        <v>4.4695899999999997E-9</v>
      </c>
      <c r="J19" s="47">
        <v>2.4542E-5</v>
      </c>
      <c r="K19" s="47">
        <v>9.9999999999999999E-56</v>
      </c>
      <c r="L19" s="47">
        <v>8.4328300000000005E-9</v>
      </c>
      <c r="M19" s="47">
        <v>5.1790600000000002E-8</v>
      </c>
      <c r="N19" s="47">
        <v>1.01049E-8</v>
      </c>
      <c r="O19" s="47">
        <v>9.9999999999999999E-56</v>
      </c>
      <c r="P19" s="47">
        <v>9.9999999999999995E-7</v>
      </c>
    </row>
    <row r="20" spans="1:16">
      <c r="A20" s="47">
        <v>140.797</v>
      </c>
      <c r="B20" s="47">
        <v>1.16186E-4</v>
      </c>
      <c r="C20" s="47">
        <v>4.80214E-12</v>
      </c>
      <c r="D20" s="47">
        <v>1.2669100000000001E-13</v>
      </c>
      <c r="E20" s="47">
        <v>3.6741399999999999E-6</v>
      </c>
      <c r="F20" s="47">
        <v>4.31704E-19</v>
      </c>
      <c r="G20" s="47">
        <v>2.5884500000000001E-4</v>
      </c>
      <c r="H20" s="47">
        <v>1.91919E-12</v>
      </c>
      <c r="I20" s="47">
        <v>4.4500600000000002E-9</v>
      </c>
      <c r="J20" s="47">
        <v>2.4834700000000001E-5</v>
      </c>
      <c r="K20" s="47">
        <v>9.9999999999999999E-56</v>
      </c>
      <c r="L20" s="47">
        <v>6.3193400000000002E-9</v>
      </c>
      <c r="M20" s="47">
        <v>4.4011000000000003E-8</v>
      </c>
      <c r="N20" s="47">
        <v>1.00737E-8</v>
      </c>
      <c r="O20" s="47">
        <v>9.9999999999999999E-56</v>
      </c>
      <c r="P20" s="47">
        <v>9.9999999999999995E-7</v>
      </c>
    </row>
    <row r="21" spans="1:16">
      <c r="A21" s="47">
        <v>149.73099999999999</v>
      </c>
      <c r="B21" s="47">
        <v>1.15036E-4</v>
      </c>
      <c r="C21" s="47">
        <v>4.8168999999999998E-12</v>
      </c>
      <c r="D21" s="47">
        <v>1.26201E-13</v>
      </c>
      <c r="E21" s="47">
        <v>3.63775E-6</v>
      </c>
      <c r="F21" s="47">
        <v>4.2887500000000001E-19</v>
      </c>
      <c r="G21" s="47">
        <v>2.5974199999999998E-4</v>
      </c>
      <c r="H21" s="47">
        <v>1.9185800000000001E-12</v>
      </c>
      <c r="I21" s="47">
        <v>4.4301499999999996E-9</v>
      </c>
      <c r="J21" s="47">
        <v>2.51248E-5</v>
      </c>
      <c r="K21" s="47">
        <v>9.9999999999999999E-56</v>
      </c>
      <c r="L21" s="47">
        <v>4.7325499999999998E-9</v>
      </c>
      <c r="M21" s="47">
        <v>3.7380500000000002E-8</v>
      </c>
      <c r="N21" s="47">
        <v>1.00282E-8</v>
      </c>
      <c r="O21" s="47">
        <v>9.9999999999999999E-56</v>
      </c>
      <c r="P21" s="47">
        <v>9.9999999999999995E-7</v>
      </c>
    </row>
    <row r="22" spans="1:16">
      <c r="A22" s="47">
        <v>158.66499999999999</v>
      </c>
      <c r="B22" s="47">
        <v>1.13896E-4</v>
      </c>
      <c r="C22" s="47">
        <v>4.8305899999999999E-12</v>
      </c>
      <c r="D22" s="47">
        <v>1.25709E-13</v>
      </c>
      <c r="E22" s="47">
        <v>3.6017000000000002E-6</v>
      </c>
      <c r="F22" s="47">
        <v>4.2605200000000002E-19</v>
      </c>
      <c r="G22" s="47">
        <v>2.6062999999999998E-4</v>
      </c>
      <c r="H22" s="47">
        <v>1.9178099999999999E-12</v>
      </c>
      <c r="I22" s="47">
        <v>4.4099599999999999E-9</v>
      </c>
      <c r="J22" s="47">
        <v>2.5412300000000001E-5</v>
      </c>
      <c r="K22" s="47">
        <v>9.9999999999999999E-56</v>
      </c>
      <c r="L22" s="47">
        <v>3.54217E-9</v>
      </c>
      <c r="M22" s="47">
        <v>3.1733600000000003E-8</v>
      </c>
      <c r="N22" s="47">
        <v>9.9717299999999999E-9</v>
      </c>
      <c r="O22" s="47">
        <v>9.9999999999999999E-56</v>
      </c>
      <c r="P22" s="47">
        <v>9.9999999999999995E-7</v>
      </c>
    </row>
    <row r="23" spans="1:16">
      <c r="A23" s="47">
        <v>167.6</v>
      </c>
      <c r="B23" s="47">
        <v>1.12767E-4</v>
      </c>
      <c r="C23" s="47">
        <v>4.8433799999999999E-12</v>
      </c>
      <c r="D23" s="47">
        <v>1.2521500000000001E-13</v>
      </c>
      <c r="E23" s="47">
        <v>3.5659999999999998E-6</v>
      </c>
      <c r="F23" s="47">
        <v>4.2323800000000002E-19</v>
      </c>
      <c r="G23" s="47">
        <v>2.6151000000000001E-4</v>
      </c>
      <c r="H23" s="47">
        <v>1.9169E-12</v>
      </c>
      <c r="I23" s="47">
        <v>4.3895499999999996E-9</v>
      </c>
      <c r="J23" s="47">
        <v>2.5697100000000002E-5</v>
      </c>
      <c r="K23" s="47">
        <v>9.9999999999999999E-56</v>
      </c>
      <c r="L23" s="47">
        <v>2.64984E-9</v>
      </c>
      <c r="M23" s="47">
        <v>2.6927700000000002E-8</v>
      </c>
      <c r="N23" s="47">
        <v>9.9068900000000003E-9</v>
      </c>
      <c r="O23" s="47">
        <v>9.9999999999999999E-56</v>
      </c>
      <c r="P23" s="47">
        <v>9.9999999999999995E-7</v>
      </c>
    </row>
    <row r="24" spans="1:16">
      <c r="A24" s="47">
        <v>176.53399999999999</v>
      </c>
      <c r="B24" s="47">
        <v>1.11649E-4</v>
      </c>
      <c r="C24" s="47">
        <v>4.8554500000000003E-12</v>
      </c>
      <c r="D24" s="47">
        <v>1.24719E-13</v>
      </c>
      <c r="E24" s="47">
        <v>3.5306499999999998E-6</v>
      </c>
      <c r="F24" s="47">
        <v>4.2043699999999999E-19</v>
      </c>
      <c r="G24" s="47">
        <v>2.6238100000000001E-4</v>
      </c>
      <c r="H24" s="47">
        <v>1.91584E-12</v>
      </c>
      <c r="I24" s="47">
        <v>4.3689900000000002E-9</v>
      </c>
      <c r="J24" s="47">
        <v>2.5979400000000001E-5</v>
      </c>
      <c r="K24" s="47">
        <v>9.9999999999999999E-56</v>
      </c>
      <c r="L24" s="47">
        <v>1.98135E-9</v>
      </c>
      <c r="M24" s="47">
        <v>2.2839899999999999E-8</v>
      </c>
      <c r="N24" s="47">
        <v>9.8356999999999999E-9</v>
      </c>
      <c r="O24" s="47">
        <v>9.9999999999999999E-56</v>
      </c>
      <c r="P24" s="47">
        <v>9.9999999999999995E-7</v>
      </c>
    </row>
    <row r="25" spans="1:16">
      <c r="A25" s="47">
        <v>185.46899999999999</v>
      </c>
      <c r="B25" s="47">
        <v>1.10542E-4</v>
      </c>
      <c r="C25" s="47">
        <v>4.8669099999999999E-12</v>
      </c>
      <c r="D25" s="47">
        <v>1.2422199999999999E-13</v>
      </c>
      <c r="E25" s="47">
        <v>3.4956500000000002E-6</v>
      </c>
      <c r="F25" s="47">
        <v>4.1765299999999998E-19</v>
      </c>
      <c r="G25" s="47">
        <v>2.6324299999999997E-4</v>
      </c>
      <c r="H25" s="47">
        <v>1.9146500000000001E-12</v>
      </c>
      <c r="I25" s="47">
        <v>4.3483199999999997E-9</v>
      </c>
      <c r="J25" s="47">
        <v>2.62589E-5</v>
      </c>
      <c r="K25" s="47">
        <v>9.9999999999999999E-56</v>
      </c>
      <c r="L25" s="47">
        <v>1.48086E-9</v>
      </c>
      <c r="M25" s="47">
        <v>1.9364999999999998E-8</v>
      </c>
      <c r="N25" s="47">
        <v>9.7597099999999996E-9</v>
      </c>
      <c r="O25" s="47">
        <v>9.9999999999999999E-56</v>
      </c>
      <c r="P25" s="47">
        <v>9.9999999999999995E-7</v>
      </c>
    </row>
    <row r="26" spans="1:16">
      <c r="A26" s="47">
        <v>194.40299999999999</v>
      </c>
      <c r="B26" s="47">
        <v>1.09446E-4</v>
      </c>
      <c r="C26" s="47">
        <v>4.8778800000000002E-12</v>
      </c>
      <c r="D26" s="47">
        <v>1.2372299999999999E-13</v>
      </c>
      <c r="E26" s="47">
        <v>3.4609799999999999E-6</v>
      </c>
      <c r="F26" s="47">
        <v>4.14886E-19</v>
      </c>
      <c r="G26" s="47">
        <v>2.6409699999999998E-4</v>
      </c>
      <c r="H26" s="47">
        <v>1.9133200000000002E-12</v>
      </c>
      <c r="I26" s="47">
        <v>4.3275700000000002E-9</v>
      </c>
      <c r="J26" s="47">
        <v>2.6535800000000001E-5</v>
      </c>
      <c r="K26" s="47">
        <v>9.9999999999999999E-56</v>
      </c>
      <c r="L26" s="47">
        <v>1.10633E-9</v>
      </c>
      <c r="M26" s="47">
        <v>1.6412499999999999E-8</v>
      </c>
      <c r="N26" s="47">
        <v>9.6801699999999993E-9</v>
      </c>
      <c r="O26" s="47">
        <v>9.9999999999999999E-56</v>
      </c>
      <c r="P26" s="47">
        <v>9.9999999999999995E-7</v>
      </c>
    </row>
    <row r="27" spans="1:16">
      <c r="A27" s="47">
        <v>203.33699999999999</v>
      </c>
      <c r="B27" s="47">
        <v>1.0836E-4</v>
      </c>
      <c r="C27" s="47">
        <v>4.8884200000000003E-12</v>
      </c>
      <c r="D27" s="47">
        <v>1.2322299999999999E-13</v>
      </c>
      <c r="E27" s="47">
        <v>3.4266599999999999E-6</v>
      </c>
      <c r="F27" s="47">
        <v>4.1213999999999998E-19</v>
      </c>
      <c r="G27" s="47">
        <v>2.6494300000000001E-4</v>
      </c>
      <c r="H27" s="47">
        <v>1.9118599999999999E-12</v>
      </c>
      <c r="I27" s="47">
        <v>4.3067800000000003E-9</v>
      </c>
      <c r="J27" s="47">
        <v>2.6810099999999999E-5</v>
      </c>
      <c r="K27" s="47">
        <v>9.9999999999999999E-56</v>
      </c>
      <c r="L27" s="47">
        <v>8.2621099999999999E-10</v>
      </c>
      <c r="M27" s="47">
        <v>1.39051E-8</v>
      </c>
      <c r="N27" s="47">
        <v>9.5980300000000006E-9</v>
      </c>
      <c r="O27" s="47">
        <v>9.9999999999999999E-56</v>
      </c>
      <c r="P27" s="47">
        <v>9.9999999999999995E-7</v>
      </c>
    </row>
    <row r="28" spans="1:16">
      <c r="A28" s="47">
        <v>212.27199999999999</v>
      </c>
      <c r="B28" s="47">
        <v>1.07286E-4</v>
      </c>
      <c r="C28" s="47">
        <v>4.8986299999999997E-12</v>
      </c>
      <c r="D28" s="47">
        <v>1.22722E-13</v>
      </c>
      <c r="E28" s="47">
        <v>3.3926700000000002E-6</v>
      </c>
      <c r="F28" s="47">
        <v>4.0941400000000002E-19</v>
      </c>
      <c r="G28" s="47">
        <v>2.6578000000000002E-4</v>
      </c>
      <c r="H28" s="47">
        <v>1.9102799999999998E-12</v>
      </c>
      <c r="I28" s="47">
        <v>4.2859799999999997E-9</v>
      </c>
      <c r="J28" s="47">
        <v>2.7081699999999999E-5</v>
      </c>
      <c r="K28" s="47">
        <v>9.9999999999999999E-56</v>
      </c>
      <c r="L28" s="47">
        <v>6.1678799999999998E-10</v>
      </c>
      <c r="M28" s="47">
        <v>1.17766E-8</v>
      </c>
      <c r="N28" s="47">
        <v>9.5140599999999993E-9</v>
      </c>
      <c r="O28" s="47">
        <v>9.9999999999999999E-56</v>
      </c>
      <c r="P28" s="47">
        <v>9.9999999999999995E-7</v>
      </c>
    </row>
    <row r="29" spans="1:16">
      <c r="A29" s="47">
        <v>221.20599999999999</v>
      </c>
      <c r="B29" s="47">
        <v>1.06221E-4</v>
      </c>
      <c r="C29" s="47">
        <v>4.9085499999999997E-12</v>
      </c>
      <c r="D29" s="47">
        <v>1.2222000000000001E-13</v>
      </c>
      <c r="E29" s="47">
        <v>3.3590099999999998E-6</v>
      </c>
      <c r="F29" s="47">
        <v>4.0671199999999999E-19</v>
      </c>
      <c r="G29" s="47">
        <v>2.6660900000000001E-4</v>
      </c>
      <c r="H29" s="47">
        <v>1.9085699999999998E-12</v>
      </c>
      <c r="I29" s="47">
        <v>4.2651700000000001E-9</v>
      </c>
      <c r="J29" s="47">
        <v>2.7350699999999999E-5</v>
      </c>
      <c r="K29" s="47">
        <v>9.9999999999999999E-56</v>
      </c>
      <c r="L29" s="47">
        <v>4.6028699999999999E-10</v>
      </c>
      <c r="M29" s="47">
        <v>9.9705499999999992E-9</v>
      </c>
      <c r="N29" s="47">
        <v>9.42883E-9</v>
      </c>
      <c r="O29" s="47">
        <v>9.9999999999999999E-56</v>
      </c>
      <c r="P29" s="47">
        <v>9.9999999999999995E-7</v>
      </c>
    </row>
    <row r="30" spans="1:16">
      <c r="A30" s="47">
        <v>230.14099999999999</v>
      </c>
      <c r="B30" s="47">
        <v>1.05167E-4</v>
      </c>
      <c r="C30" s="47">
        <v>4.9182400000000003E-12</v>
      </c>
      <c r="D30" s="47">
        <v>1.2171799999999999E-13</v>
      </c>
      <c r="E30" s="47">
        <v>3.3256899999999999E-6</v>
      </c>
      <c r="F30" s="47">
        <v>4.04032E-19</v>
      </c>
      <c r="G30" s="47">
        <v>2.6742999999999998E-4</v>
      </c>
      <c r="H30" s="47">
        <v>1.90674E-12</v>
      </c>
      <c r="I30" s="47">
        <v>4.2443900000000001E-9</v>
      </c>
      <c r="J30" s="47">
        <v>2.76171E-5</v>
      </c>
      <c r="K30" s="47">
        <v>9.9999999999999999E-56</v>
      </c>
      <c r="L30" s="47">
        <v>3.43379E-10</v>
      </c>
      <c r="M30" s="47">
        <v>8.4386399999999997E-9</v>
      </c>
      <c r="N30" s="47">
        <v>9.3428100000000003E-9</v>
      </c>
      <c r="O30" s="47">
        <v>9.9999999999999999E-56</v>
      </c>
      <c r="P30" s="47">
        <v>9.9999999999999995E-7</v>
      </c>
    </row>
    <row r="31" spans="1:16">
      <c r="A31" s="47">
        <v>239.07499999999999</v>
      </c>
      <c r="B31" s="47">
        <v>1.0412399999999999E-4</v>
      </c>
      <c r="C31" s="47">
        <v>4.9277199999999999E-12</v>
      </c>
      <c r="D31" s="47">
        <v>1.2121400000000001E-13</v>
      </c>
      <c r="E31" s="47">
        <v>3.29269E-6</v>
      </c>
      <c r="F31" s="47">
        <v>4.01377E-19</v>
      </c>
      <c r="G31" s="47">
        <v>2.6824200000000002E-4</v>
      </c>
      <c r="H31" s="47">
        <v>1.90479E-12</v>
      </c>
      <c r="I31" s="47">
        <v>4.2236500000000004E-9</v>
      </c>
      <c r="J31" s="47">
        <v>2.7880899999999999E-5</v>
      </c>
      <c r="K31" s="47">
        <v>9.9999999999999999E-56</v>
      </c>
      <c r="L31" s="47">
        <v>2.5608199999999997E-10</v>
      </c>
      <c r="M31" s="47">
        <v>7.1397799999999999E-9</v>
      </c>
      <c r="N31" s="47">
        <v>9.2563499999999994E-9</v>
      </c>
      <c r="O31" s="47">
        <v>9.9999999999999999E-56</v>
      </c>
      <c r="P31" s="47">
        <v>9.9999999999999995E-7</v>
      </c>
    </row>
    <row r="32" spans="1:16">
      <c r="A32" s="47">
        <v>248.01</v>
      </c>
      <c r="B32" s="47">
        <v>1.0309100000000001E-4</v>
      </c>
      <c r="C32" s="47">
        <v>4.9370500000000003E-12</v>
      </c>
      <c r="D32" s="47">
        <v>1.2071E-13</v>
      </c>
      <c r="E32" s="47">
        <v>3.2600199999999998E-6</v>
      </c>
      <c r="F32" s="47">
        <v>3.9874600000000002E-19</v>
      </c>
      <c r="G32" s="47">
        <v>2.6904700000000001E-4</v>
      </c>
      <c r="H32" s="47">
        <v>1.9027200000000002E-12</v>
      </c>
      <c r="I32" s="47">
        <v>4.2029400000000004E-9</v>
      </c>
      <c r="J32" s="47">
        <v>2.81422E-5</v>
      </c>
      <c r="K32" s="47">
        <v>9.9999999999999999E-56</v>
      </c>
      <c r="L32" s="47">
        <v>1.90917E-10</v>
      </c>
      <c r="M32" s="47">
        <v>6.0388999999999999E-9</v>
      </c>
      <c r="N32" s="47">
        <v>9.1697300000000003E-9</v>
      </c>
      <c r="O32" s="47">
        <v>9.9999999999999999E-56</v>
      </c>
      <c r="P32" s="47">
        <v>9.9999999999999995E-7</v>
      </c>
    </row>
    <row r="33" spans="1:16">
      <c r="A33" s="47">
        <v>256.94400000000002</v>
      </c>
      <c r="B33" s="47">
        <v>1.02068E-4</v>
      </c>
      <c r="C33" s="47">
        <v>4.9462399999999997E-12</v>
      </c>
      <c r="D33" s="47">
        <v>1.2020499999999999E-13</v>
      </c>
      <c r="E33" s="47">
        <v>3.22767E-6</v>
      </c>
      <c r="F33" s="47">
        <v>3.9614100000000002E-19</v>
      </c>
      <c r="G33" s="47">
        <v>2.6984399999999999E-4</v>
      </c>
      <c r="H33" s="47">
        <v>1.9005300000000002E-12</v>
      </c>
      <c r="I33" s="47">
        <v>4.1823000000000003E-9</v>
      </c>
      <c r="J33" s="47">
        <v>2.8400800000000001E-5</v>
      </c>
      <c r="K33" s="47">
        <v>9.9999999999999999E-56</v>
      </c>
      <c r="L33" s="47">
        <v>1.4229099999999999E-10</v>
      </c>
      <c r="M33" s="47">
        <v>5.10617E-9</v>
      </c>
      <c r="N33" s="47">
        <v>9.0831600000000007E-9</v>
      </c>
      <c r="O33" s="47">
        <v>9.9999999999999999E-56</v>
      </c>
      <c r="P33" s="47">
        <v>9.9999999999999995E-7</v>
      </c>
    </row>
    <row r="34" spans="1:16">
      <c r="A34" s="47">
        <v>265.87799999999999</v>
      </c>
      <c r="B34" s="47">
        <v>1.01055E-4</v>
      </c>
      <c r="C34" s="47">
        <v>4.9553200000000003E-12</v>
      </c>
      <c r="D34" s="47">
        <v>1.1970000000000001E-13</v>
      </c>
      <c r="E34" s="47">
        <v>3.1956500000000001E-6</v>
      </c>
      <c r="F34" s="47">
        <v>3.9356E-19</v>
      </c>
      <c r="G34" s="47">
        <v>2.7063199999999998E-4</v>
      </c>
      <c r="H34" s="47">
        <v>1.8982300000000001E-12</v>
      </c>
      <c r="I34" s="47">
        <v>4.1617099999999997E-9</v>
      </c>
      <c r="J34" s="47">
        <v>2.8657E-5</v>
      </c>
      <c r="K34" s="47">
        <v>9.9999999999999999E-56</v>
      </c>
      <c r="L34" s="47">
        <v>1.06017E-10</v>
      </c>
      <c r="M34" s="47">
        <v>4.3161600000000001E-9</v>
      </c>
      <c r="N34" s="47">
        <v>8.9968100000000001E-9</v>
      </c>
      <c r="O34" s="47">
        <v>9.9999999999999999E-56</v>
      </c>
      <c r="P34" s="47">
        <v>9.9999999999999995E-7</v>
      </c>
    </row>
    <row r="35" spans="1:16">
      <c r="A35" s="47">
        <v>274.81299999999999</v>
      </c>
      <c r="B35" s="47">
        <v>1.00052E-4</v>
      </c>
      <c r="C35" s="47">
        <v>4.9642999999999998E-12</v>
      </c>
      <c r="D35" s="47">
        <v>1.1919300000000001E-13</v>
      </c>
      <c r="E35" s="47">
        <v>3.1639299999999999E-6</v>
      </c>
      <c r="F35" s="47">
        <v>3.9100499999999999E-19</v>
      </c>
      <c r="G35" s="47">
        <v>2.7141300000000003E-4</v>
      </c>
      <c r="H35" s="47">
        <v>1.8958100000000002E-12</v>
      </c>
      <c r="I35" s="47">
        <v>4.1411899999999998E-9</v>
      </c>
      <c r="J35" s="47">
        <v>2.8910600000000001E-5</v>
      </c>
      <c r="K35" s="47">
        <v>9.9999999999999999E-56</v>
      </c>
      <c r="L35" s="47">
        <v>7.8967500000000004E-11</v>
      </c>
      <c r="M35" s="47">
        <v>3.6472600000000001E-9</v>
      </c>
      <c r="N35" s="47">
        <v>8.91082E-9</v>
      </c>
      <c r="O35" s="47">
        <v>9.9999999999999999E-56</v>
      </c>
      <c r="P35" s="47">
        <v>9.9999999999999995E-7</v>
      </c>
    </row>
    <row r="36" spans="1:16">
      <c r="A36" s="47">
        <v>283.74700000000001</v>
      </c>
      <c r="B36" s="47">
        <v>9.9059499999999996E-5</v>
      </c>
      <c r="C36" s="47">
        <v>4.9731999999999999E-12</v>
      </c>
      <c r="D36" s="47">
        <v>1.1868700000000001E-13</v>
      </c>
      <c r="E36" s="47">
        <v>3.1325399999999999E-6</v>
      </c>
      <c r="F36" s="47">
        <v>3.8847500000000002E-19</v>
      </c>
      <c r="G36" s="47">
        <v>2.72186E-4</v>
      </c>
      <c r="H36" s="47">
        <v>1.8932800000000002E-12</v>
      </c>
      <c r="I36" s="47">
        <v>4.1207499999999999E-9</v>
      </c>
      <c r="J36" s="47">
        <v>2.9161699999999999E-5</v>
      </c>
      <c r="K36" s="47">
        <v>9.9999999999999999E-56</v>
      </c>
      <c r="L36" s="47">
        <v>5.8801999999999998E-11</v>
      </c>
      <c r="M36" s="47">
        <v>3.0810900000000002E-9</v>
      </c>
      <c r="N36" s="47">
        <v>8.8252699999999997E-9</v>
      </c>
      <c r="O36" s="47">
        <v>9.9999999999999999E-56</v>
      </c>
      <c r="P36" s="47">
        <v>9.9999999999999995E-7</v>
      </c>
    </row>
    <row r="37" spans="1:16">
      <c r="A37" s="47">
        <v>292.68200000000002</v>
      </c>
      <c r="B37" s="47">
        <v>9.8076400000000002E-5</v>
      </c>
      <c r="C37" s="47">
        <v>4.9820500000000002E-12</v>
      </c>
      <c r="D37" s="47">
        <v>1.1817900000000001E-13</v>
      </c>
      <c r="E37" s="47">
        <v>3.1014500000000002E-6</v>
      </c>
      <c r="F37" s="47">
        <v>3.85972E-19</v>
      </c>
      <c r="G37" s="47">
        <v>2.7295200000000003E-4</v>
      </c>
      <c r="H37" s="47">
        <v>1.8906400000000001E-12</v>
      </c>
      <c r="I37" s="47">
        <v>4.1003799999999999E-9</v>
      </c>
      <c r="J37" s="47">
        <v>2.9410399999999999E-5</v>
      </c>
      <c r="K37" s="47">
        <v>9.9999999999999999E-56</v>
      </c>
      <c r="L37" s="47">
        <v>4.37733E-11</v>
      </c>
      <c r="M37" s="47">
        <v>2.6020200000000001E-9</v>
      </c>
      <c r="N37" s="47">
        <v>8.7402499999999995E-9</v>
      </c>
      <c r="O37" s="47">
        <v>9.9999999999999999E-56</v>
      </c>
      <c r="P37" s="47">
        <v>9.9999999999999995E-7</v>
      </c>
    </row>
    <row r="38" spans="1:16">
      <c r="A38" s="47">
        <v>301.61599999999999</v>
      </c>
      <c r="B38" s="47">
        <v>9.7103100000000002E-5</v>
      </c>
      <c r="C38" s="47">
        <v>4.9908399999999998E-12</v>
      </c>
      <c r="D38" s="47">
        <v>1.1767099999999999E-13</v>
      </c>
      <c r="E38" s="47">
        <v>3.0706700000000001E-6</v>
      </c>
      <c r="F38" s="47">
        <v>3.8349300000000002E-19</v>
      </c>
      <c r="G38" s="47">
        <v>2.7370999999999998E-4</v>
      </c>
      <c r="H38" s="47">
        <v>1.8879000000000001E-12</v>
      </c>
      <c r="I38" s="47">
        <v>4.0800899999999997E-9</v>
      </c>
      <c r="J38" s="47">
        <v>2.96566E-5</v>
      </c>
      <c r="K38" s="47">
        <v>9.9999999999999999E-56</v>
      </c>
      <c r="L38" s="47">
        <v>3.2576300000000002E-11</v>
      </c>
      <c r="M38" s="47">
        <v>2.1967799999999999E-9</v>
      </c>
      <c r="N38" s="47">
        <v>8.6558200000000004E-9</v>
      </c>
      <c r="O38" s="47">
        <v>9.9999999999999999E-56</v>
      </c>
      <c r="P38" s="47">
        <v>9.9999999999999995E-7</v>
      </c>
    </row>
    <row r="39" spans="1:16">
      <c r="A39" s="47">
        <v>310.55099999999999</v>
      </c>
      <c r="B39" s="47">
        <v>9.6139399999999996E-5</v>
      </c>
      <c r="C39" s="47">
        <v>4.9995800000000004E-12</v>
      </c>
      <c r="D39" s="47">
        <v>1.1716299999999999E-13</v>
      </c>
      <c r="E39" s="47">
        <v>3.0402000000000001E-6</v>
      </c>
      <c r="F39" s="47">
        <v>3.8104000000000001E-19</v>
      </c>
      <c r="G39" s="47">
        <v>2.7446000000000003E-4</v>
      </c>
      <c r="H39" s="47">
        <v>1.8850399999999998E-12</v>
      </c>
      <c r="I39" s="47">
        <v>4.0598900000000001E-9</v>
      </c>
      <c r="J39" s="47">
        <v>2.9900299999999999E-5</v>
      </c>
      <c r="K39" s="47">
        <v>9.9999999999999999E-56</v>
      </c>
      <c r="L39" s="47">
        <v>2.4236500000000001E-11</v>
      </c>
      <c r="M39" s="47">
        <v>1.8541099999999999E-9</v>
      </c>
      <c r="N39" s="47">
        <v>8.5720200000000003E-9</v>
      </c>
      <c r="O39" s="47">
        <v>9.9999999999999999E-56</v>
      </c>
      <c r="P39" s="47">
        <v>9.9999999999999995E-7</v>
      </c>
    </row>
    <row r="40" spans="1:16">
      <c r="A40" s="47">
        <v>319.48500000000001</v>
      </c>
      <c r="B40" s="47">
        <v>9.5185299999999998E-5</v>
      </c>
      <c r="C40" s="47">
        <v>5.0083E-12</v>
      </c>
      <c r="D40" s="47">
        <v>1.16654E-13</v>
      </c>
      <c r="E40" s="47">
        <v>3.0100200000000001E-6</v>
      </c>
      <c r="F40" s="47">
        <v>3.7861300000000001E-19</v>
      </c>
      <c r="G40" s="47">
        <v>2.7520300000000001E-4</v>
      </c>
      <c r="H40" s="47">
        <v>1.88208E-12</v>
      </c>
      <c r="I40" s="47">
        <v>4.0397700000000004E-9</v>
      </c>
      <c r="J40" s="47">
        <v>3.01417E-5</v>
      </c>
      <c r="K40" s="47">
        <v>9.9999999999999999E-56</v>
      </c>
      <c r="L40" s="47">
        <v>1.80267E-11</v>
      </c>
      <c r="M40" s="47">
        <v>1.5644200000000001E-9</v>
      </c>
      <c r="N40" s="47">
        <v>8.4888800000000006E-9</v>
      </c>
      <c r="O40" s="47">
        <v>9.9999999999999999E-56</v>
      </c>
      <c r="P40" s="47">
        <v>9.9999999999999995E-7</v>
      </c>
    </row>
    <row r="41" spans="1:16">
      <c r="A41" s="47">
        <v>328.41899999999998</v>
      </c>
      <c r="B41" s="47">
        <v>9.4240599999999993E-5</v>
      </c>
      <c r="C41" s="47">
        <v>5.0169799999999999E-12</v>
      </c>
      <c r="D41" s="47">
        <v>1.1614400000000001E-13</v>
      </c>
      <c r="E41" s="47">
        <v>2.9801500000000002E-6</v>
      </c>
      <c r="F41" s="47">
        <v>3.7621099999999999E-19</v>
      </c>
      <c r="G41" s="47">
        <v>2.75939E-4</v>
      </c>
      <c r="H41" s="47">
        <v>1.8790199999999998E-12</v>
      </c>
      <c r="I41" s="47">
        <v>4.0197399999999996E-9</v>
      </c>
      <c r="J41" s="47">
        <v>3.0380599999999998E-5</v>
      </c>
      <c r="K41" s="47">
        <v>9.9999999999999999E-56</v>
      </c>
      <c r="L41" s="47">
        <v>1.34041E-11</v>
      </c>
      <c r="M41" s="47">
        <v>1.3196000000000001E-9</v>
      </c>
      <c r="N41" s="47">
        <v>8.4064300000000007E-9</v>
      </c>
      <c r="O41" s="47">
        <v>9.9999999999999999E-56</v>
      </c>
      <c r="P41" s="47">
        <v>9.9999999999999995E-7</v>
      </c>
    </row>
    <row r="42" spans="1:16">
      <c r="A42" s="47">
        <v>337.35399999999998</v>
      </c>
      <c r="B42" s="47">
        <v>9.3305299999999996E-5</v>
      </c>
      <c r="C42" s="47">
        <v>5.0256400000000004E-12</v>
      </c>
      <c r="D42" s="47">
        <v>1.1563399999999999E-13</v>
      </c>
      <c r="E42" s="47">
        <v>2.9505700000000002E-6</v>
      </c>
      <c r="F42" s="47">
        <v>3.7383499999999999E-19</v>
      </c>
      <c r="G42" s="47">
        <v>2.7666700000000003E-4</v>
      </c>
      <c r="H42" s="47">
        <v>1.8758499999999999E-12</v>
      </c>
      <c r="I42" s="47">
        <v>3.9998000000000002E-9</v>
      </c>
      <c r="J42" s="47">
        <v>3.0617200000000002E-5</v>
      </c>
      <c r="K42" s="47">
        <v>9.9999999999999999E-56</v>
      </c>
      <c r="L42" s="47">
        <v>9.9641099999999996E-12</v>
      </c>
      <c r="M42" s="47">
        <v>1.1127700000000001E-9</v>
      </c>
      <c r="N42" s="47">
        <v>8.3246800000000007E-9</v>
      </c>
      <c r="O42" s="47">
        <v>9.9999999999999999E-56</v>
      </c>
      <c r="P42" s="47">
        <v>9.9999999999999995E-7</v>
      </c>
    </row>
    <row r="43" spans="1:16">
      <c r="A43" s="47">
        <v>346.28800000000001</v>
      </c>
      <c r="B43" s="47">
        <v>9.2379299999999998E-5</v>
      </c>
      <c r="C43" s="47">
        <v>5.0342899999999999E-12</v>
      </c>
      <c r="D43" s="47">
        <v>1.1512400000000001E-13</v>
      </c>
      <c r="E43" s="47">
        <v>2.92129E-6</v>
      </c>
      <c r="F43" s="47">
        <v>3.7148400000000002E-19</v>
      </c>
      <c r="G43" s="47">
        <v>2.7738799999999999E-4</v>
      </c>
      <c r="H43" s="47">
        <v>1.8725800000000001E-12</v>
      </c>
      <c r="I43" s="47">
        <v>3.9799499999999997E-9</v>
      </c>
      <c r="J43" s="47">
        <v>3.0851500000000001E-5</v>
      </c>
      <c r="K43" s="47">
        <v>9.9999999999999999E-56</v>
      </c>
      <c r="L43" s="47">
        <v>7.4048599999999992E-12</v>
      </c>
      <c r="M43" s="47">
        <v>9.3808199999999995E-10</v>
      </c>
      <c r="N43" s="47">
        <v>8.2436500000000002E-9</v>
      </c>
      <c r="O43" s="47">
        <v>9.9999999999999999E-56</v>
      </c>
      <c r="P43" s="47">
        <v>9.9999999999999995E-7</v>
      </c>
    </row>
    <row r="44" spans="1:16">
      <c r="A44" s="47">
        <v>355.22300000000001</v>
      </c>
      <c r="B44" s="47">
        <v>9.1462499999999994E-5</v>
      </c>
      <c r="C44" s="47">
        <v>5.0429200000000001E-12</v>
      </c>
      <c r="D44" s="47">
        <v>1.1461299999999999E-13</v>
      </c>
      <c r="E44" s="47">
        <v>2.8922999999999998E-6</v>
      </c>
      <c r="F44" s="47">
        <v>3.6915699999999998E-19</v>
      </c>
      <c r="G44" s="47">
        <v>2.7810200000000001E-4</v>
      </c>
      <c r="H44" s="47">
        <v>1.8692099999999999E-12</v>
      </c>
      <c r="I44" s="47">
        <v>3.9601899999999997E-9</v>
      </c>
      <c r="J44" s="47">
        <v>3.1083400000000001E-5</v>
      </c>
      <c r="K44" s="47">
        <v>9.9999999999999999E-56</v>
      </c>
      <c r="L44" s="47">
        <v>5.5014100000000001E-12</v>
      </c>
      <c r="M44" s="47">
        <v>7.9058400000000001E-10</v>
      </c>
      <c r="N44" s="47">
        <v>8.1633399999999992E-9</v>
      </c>
      <c r="O44" s="47">
        <v>9.9999999999999999E-56</v>
      </c>
      <c r="P44" s="47">
        <v>9.9999999999999995E-7</v>
      </c>
    </row>
    <row r="45" spans="1:16">
      <c r="A45" s="47">
        <v>364.15699999999998</v>
      </c>
      <c r="B45" s="47">
        <v>9.0554699999999995E-5</v>
      </c>
      <c r="C45" s="47">
        <v>5.0515400000000001E-12</v>
      </c>
      <c r="D45" s="47">
        <v>1.1410200000000001E-13</v>
      </c>
      <c r="E45" s="47">
        <v>2.8635900000000001E-6</v>
      </c>
      <c r="F45" s="47">
        <v>3.66856E-19</v>
      </c>
      <c r="G45" s="47">
        <v>2.7880899999999998E-4</v>
      </c>
      <c r="H45" s="47">
        <v>1.8657400000000001E-12</v>
      </c>
      <c r="I45" s="47">
        <v>3.9405300000000002E-9</v>
      </c>
      <c r="J45" s="47">
        <v>3.1313099999999997E-5</v>
      </c>
      <c r="K45" s="47">
        <v>9.9999999999999999E-56</v>
      </c>
      <c r="L45" s="47">
        <v>4.0860999999999997E-12</v>
      </c>
      <c r="M45" s="47">
        <v>6.6608299999999996E-10</v>
      </c>
      <c r="N45" s="47">
        <v>8.0837699999999993E-9</v>
      </c>
      <c r="O45" s="47">
        <v>9.9999999999999999E-56</v>
      </c>
      <c r="P45" s="47">
        <v>9.9999999999999995E-7</v>
      </c>
    </row>
    <row r="46" spans="1:16">
      <c r="A46" s="47">
        <v>373.09199999999998</v>
      </c>
      <c r="B46" s="47">
        <v>8.9655999999999997E-5</v>
      </c>
      <c r="C46" s="47">
        <v>5.06015E-12</v>
      </c>
      <c r="D46" s="47">
        <v>1.1359E-13</v>
      </c>
      <c r="E46" s="47">
        <v>2.83517E-6</v>
      </c>
      <c r="F46" s="47">
        <v>3.6457900000000002E-19</v>
      </c>
      <c r="G46" s="47">
        <v>2.79509E-4</v>
      </c>
      <c r="H46" s="47">
        <v>1.86218E-12</v>
      </c>
      <c r="I46" s="47">
        <v>3.9209499999999998E-9</v>
      </c>
      <c r="J46" s="47">
        <v>3.1540500000000001E-5</v>
      </c>
      <c r="K46" s="47">
        <v>9.9999999999999999E-56</v>
      </c>
      <c r="L46" s="47">
        <v>3.03405E-12</v>
      </c>
      <c r="M46" s="47">
        <v>5.6102400000000003E-10</v>
      </c>
      <c r="N46" s="47">
        <v>8.0049200000000005E-9</v>
      </c>
      <c r="O46" s="47">
        <v>9.9999999999999999E-56</v>
      </c>
      <c r="P46" s="47">
        <v>9.9999999999999995E-7</v>
      </c>
    </row>
    <row r="47" spans="1:16">
      <c r="A47" s="47">
        <v>382.02600000000001</v>
      </c>
      <c r="B47" s="47">
        <v>8.8766100000000004E-5</v>
      </c>
      <c r="C47" s="47">
        <v>5.0687599999999999E-12</v>
      </c>
      <c r="D47" s="47">
        <v>1.13078E-13</v>
      </c>
      <c r="E47" s="47">
        <v>2.80703E-6</v>
      </c>
      <c r="F47" s="47">
        <v>3.6232600000000001E-19</v>
      </c>
      <c r="G47" s="47">
        <v>2.8020200000000001E-4</v>
      </c>
      <c r="H47" s="47">
        <v>1.85852E-12</v>
      </c>
      <c r="I47" s="47">
        <v>3.9014699999999998E-9</v>
      </c>
      <c r="J47" s="47">
        <v>3.17656E-5</v>
      </c>
      <c r="K47" s="47">
        <v>9.9999999999999999E-56</v>
      </c>
      <c r="L47" s="47">
        <v>2.2522400000000001E-12</v>
      </c>
      <c r="M47" s="47">
        <v>4.7239800000000003E-10</v>
      </c>
      <c r="N47" s="47">
        <v>7.9268099999999994E-9</v>
      </c>
      <c r="O47" s="47">
        <v>9.9999999999999999E-56</v>
      </c>
      <c r="P47" s="47">
        <v>9.9999999999999995E-7</v>
      </c>
    </row>
    <row r="48" spans="1:16">
      <c r="A48" s="47">
        <v>390.96</v>
      </c>
      <c r="B48" s="47">
        <v>8.7885099999999996E-5</v>
      </c>
      <c r="C48" s="47">
        <v>5.0773699999999998E-12</v>
      </c>
      <c r="D48" s="47">
        <v>1.1256599999999999E-13</v>
      </c>
      <c r="E48" s="47">
        <v>2.77917E-6</v>
      </c>
      <c r="F48" s="47">
        <v>3.6009799999999998E-19</v>
      </c>
      <c r="G48" s="47">
        <v>2.8088800000000003E-4</v>
      </c>
      <c r="H48" s="47">
        <v>1.8547600000000001E-12</v>
      </c>
      <c r="I48" s="47">
        <v>3.8820800000000003E-9</v>
      </c>
      <c r="J48" s="47">
        <v>3.19885E-5</v>
      </c>
      <c r="K48" s="47">
        <v>9.9999999999999999E-56</v>
      </c>
      <c r="L48" s="47">
        <v>1.67142E-12</v>
      </c>
      <c r="M48" s="47">
        <v>3.9765600000000002E-10</v>
      </c>
      <c r="N48" s="47">
        <v>7.8494299999999994E-9</v>
      </c>
      <c r="O48" s="47">
        <v>9.9999999999999999E-56</v>
      </c>
      <c r="P48" s="47">
        <v>9.9999999999999995E-7</v>
      </c>
    </row>
    <row r="49" spans="1:16">
      <c r="A49" s="47">
        <v>399.89499999999998</v>
      </c>
      <c r="B49" s="47">
        <v>8.7012800000000001E-5</v>
      </c>
      <c r="C49" s="47">
        <v>5.0859700000000004E-12</v>
      </c>
      <c r="D49" s="47">
        <v>1.12053E-13</v>
      </c>
      <c r="E49" s="47">
        <v>2.7515900000000002E-6</v>
      </c>
      <c r="F49" s="47">
        <v>3.5789399999999998E-19</v>
      </c>
      <c r="G49" s="47">
        <v>2.8156699999999998E-4</v>
      </c>
      <c r="H49" s="47">
        <v>1.85092E-12</v>
      </c>
      <c r="I49" s="47">
        <v>3.8627899999999996E-9</v>
      </c>
      <c r="J49" s="47">
        <v>3.2209100000000003E-5</v>
      </c>
      <c r="K49" s="47">
        <v>9.9999999999999999E-56</v>
      </c>
      <c r="L49" s="47">
        <v>1.24004E-12</v>
      </c>
      <c r="M49" s="47">
        <v>3.3464200000000001E-10</v>
      </c>
      <c r="N49" s="47">
        <v>7.7727700000000007E-9</v>
      </c>
      <c r="O49" s="47">
        <v>9.9999999999999999E-56</v>
      </c>
      <c r="P49" s="47">
        <v>9.9999999999999995E-7</v>
      </c>
    </row>
    <row r="50" spans="1:16">
      <c r="A50" s="47">
        <v>408.82900000000001</v>
      </c>
      <c r="B50" s="47">
        <v>8.6149200000000005E-5</v>
      </c>
      <c r="C50" s="47">
        <v>5.0945700000000002E-12</v>
      </c>
      <c r="D50" s="47">
        <v>1.1154099999999999E-13</v>
      </c>
      <c r="E50" s="47">
        <v>2.7242800000000002E-6</v>
      </c>
      <c r="F50" s="47">
        <v>3.5571400000000001E-19</v>
      </c>
      <c r="G50" s="47">
        <v>2.8224000000000001E-4</v>
      </c>
      <c r="H50" s="47">
        <v>1.8469799999999999E-12</v>
      </c>
      <c r="I50" s="47">
        <v>3.8435799999999997E-9</v>
      </c>
      <c r="J50" s="47">
        <v>3.2427600000000001E-5</v>
      </c>
      <c r="K50" s="47">
        <v>9.9999999999999999E-56</v>
      </c>
      <c r="L50" s="47">
        <v>9.197319999999999E-13</v>
      </c>
      <c r="M50" s="47">
        <v>2.8153100000000002E-10</v>
      </c>
      <c r="N50" s="47">
        <v>7.6968399999999997E-9</v>
      </c>
      <c r="O50" s="47">
        <v>9.9999999999999999E-56</v>
      </c>
      <c r="P50" s="47">
        <v>9.9999999999999995E-7</v>
      </c>
    </row>
    <row r="51" spans="1:16">
      <c r="A51" s="47">
        <v>417.76400000000001</v>
      </c>
      <c r="B51" s="47">
        <v>8.5294200000000001E-5</v>
      </c>
      <c r="C51" s="47">
        <v>5.10317E-12</v>
      </c>
      <c r="D51" s="47">
        <v>1.11027E-13</v>
      </c>
      <c r="E51" s="47">
        <v>2.69724E-6</v>
      </c>
      <c r="F51" s="47">
        <v>3.5355699999999999E-19</v>
      </c>
      <c r="G51" s="47">
        <v>2.8290599999999998E-4</v>
      </c>
      <c r="H51" s="47">
        <v>1.8429499999999999E-12</v>
      </c>
      <c r="I51" s="47">
        <v>3.82448E-9</v>
      </c>
      <c r="J51" s="47">
        <v>3.2643900000000001E-5</v>
      </c>
      <c r="K51" s="47">
        <v>9.9999999999999999E-56</v>
      </c>
      <c r="L51" s="47">
        <v>6.8197200000000001E-13</v>
      </c>
      <c r="M51" s="47">
        <v>2.3677999999999998E-10</v>
      </c>
      <c r="N51" s="47">
        <v>7.6216299999999999E-9</v>
      </c>
      <c r="O51" s="47">
        <v>9.9999999999999999E-56</v>
      </c>
      <c r="P51" s="47">
        <v>9.9999999999999995E-7</v>
      </c>
    </row>
    <row r="52" spans="1:16">
      <c r="A52" s="47">
        <v>426.69799999999998</v>
      </c>
      <c r="B52" s="47">
        <v>8.4447600000000001E-5</v>
      </c>
      <c r="C52" s="47">
        <v>5.1117699999999997E-12</v>
      </c>
      <c r="D52" s="47">
        <v>1.10514E-13</v>
      </c>
      <c r="E52" s="47">
        <v>2.6704700000000001E-6</v>
      </c>
      <c r="F52" s="47">
        <v>3.51424E-19</v>
      </c>
      <c r="G52" s="47">
        <v>2.83565E-4</v>
      </c>
      <c r="H52" s="47">
        <v>1.8388300000000002E-12</v>
      </c>
      <c r="I52" s="47">
        <v>3.8054600000000002E-9</v>
      </c>
      <c r="J52" s="47">
        <v>3.2858100000000003E-5</v>
      </c>
      <c r="K52" s="47">
        <v>9.9999999999999999E-56</v>
      </c>
      <c r="L52" s="47">
        <v>5.0553299999999998E-13</v>
      </c>
      <c r="M52" s="47">
        <v>1.9908400000000001E-10</v>
      </c>
      <c r="N52" s="47">
        <v>7.5471399999999996E-9</v>
      </c>
      <c r="O52" s="47">
        <v>9.9999999999999999E-56</v>
      </c>
      <c r="P52" s="47">
        <v>9.9999999999999995E-7</v>
      </c>
    </row>
    <row r="53" spans="1:16">
      <c r="A53" s="47">
        <v>435.63299999999998</v>
      </c>
      <c r="B53" s="47">
        <v>8.36095E-5</v>
      </c>
      <c r="C53" s="47">
        <v>5.1203799999999996E-12</v>
      </c>
      <c r="D53" s="47">
        <v>1.1E-13</v>
      </c>
      <c r="E53" s="47">
        <v>2.6439600000000002E-6</v>
      </c>
      <c r="F53" s="47">
        <v>3.49313E-19</v>
      </c>
      <c r="G53" s="47">
        <v>2.8421799999999998E-4</v>
      </c>
      <c r="H53" s="47">
        <v>1.8346200000000001E-12</v>
      </c>
      <c r="I53" s="47">
        <v>3.78654E-9</v>
      </c>
      <c r="J53" s="47">
        <v>3.3070200000000001E-5</v>
      </c>
      <c r="K53" s="47">
        <v>9.9999999999999999E-56</v>
      </c>
      <c r="L53" s="47">
        <v>3.7463600000000002E-13</v>
      </c>
      <c r="M53" s="47">
        <v>1.67341E-10</v>
      </c>
      <c r="N53" s="47">
        <v>7.4733600000000008E-9</v>
      </c>
      <c r="O53" s="47">
        <v>9.9999999999999999E-56</v>
      </c>
      <c r="P53" s="47">
        <v>9.9999999999999995E-7</v>
      </c>
    </row>
    <row r="54" spans="1:16">
      <c r="A54" s="47">
        <v>444.56700000000001</v>
      </c>
      <c r="B54" s="47">
        <v>8.2779600000000003E-5</v>
      </c>
      <c r="C54" s="47">
        <v>5.1289800000000002E-12</v>
      </c>
      <c r="D54" s="47">
        <v>1.0948700000000001E-13</v>
      </c>
      <c r="E54" s="47">
        <v>2.6177200000000001E-6</v>
      </c>
      <c r="F54" s="47">
        <v>3.4722599999999999E-19</v>
      </c>
      <c r="G54" s="47">
        <v>2.8486400000000002E-4</v>
      </c>
      <c r="H54" s="47">
        <v>1.8303299999999999E-12</v>
      </c>
      <c r="I54" s="47">
        <v>3.7677099999999996E-9</v>
      </c>
      <c r="J54" s="47">
        <v>3.32801E-5</v>
      </c>
      <c r="K54" s="47">
        <v>9.9999999999999999E-56</v>
      </c>
      <c r="L54" s="47">
        <v>2.77554E-13</v>
      </c>
      <c r="M54" s="47">
        <v>1.4061800000000001E-10</v>
      </c>
      <c r="N54" s="47">
        <v>7.4002899999999999E-9</v>
      </c>
      <c r="O54" s="47">
        <v>9.9999999999999999E-56</v>
      </c>
      <c r="P54" s="47">
        <v>9.9999999999999995E-7</v>
      </c>
    </row>
    <row r="55" spans="1:16">
      <c r="A55" s="47">
        <v>453.50099999999998</v>
      </c>
      <c r="B55" s="47">
        <v>8.1958000000000004E-5</v>
      </c>
      <c r="C55" s="47">
        <v>5.1375900000000001E-12</v>
      </c>
      <c r="D55" s="47">
        <v>1.08973E-13</v>
      </c>
      <c r="E55" s="47">
        <v>2.5917399999999999E-6</v>
      </c>
      <c r="F55" s="47">
        <v>3.4516200000000001E-19</v>
      </c>
      <c r="G55" s="47">
        <v>2.8550400000000001E-4</v>
      </c>
      <c r="H55" s="47">
        <v>1.82596E-12</v>
      </c>
      <c r="I55" s="47">
        <v>3.7489699999999997E-9</v>
      </c>
      <c r="J55" s="47">
        <v>3.3488000000000002E-5</v>
      </c>
      <c r="K55" s="47">
        <v>9.9999999999999999E-56</v>
      </c>
      <c r="L55" s="47">
        <v>2.0557199999999999E-13</v>
      </c>
      <c r="M55" s="47">
        <v>1.1812799999999999E-10</v>
      </c>
      <c r="N55" s="47">
        <v>7.3279099999999998E-9</v>
      </c>
      <c r="O55" s="47">
        <v>9.9999999999999999E-56</v>
      </c>
      <c r="P55" s="47">
        <v>9.9999999999999995E-7</v>
      </c>
    </row>
    <row r="56" spans="1:16">
      <c r="A56" s="47">
        <v>462.43599999999998</v>
      </c>
      <c r="B56" s="47">
        <v>8.1144599999999996E-5</v>
      </c>
      <c r="C56" s="47">
        <v>5.1462E-12</v>
      </c>
      <c r="D56" s="47">
        <v>1.0845800000000001E-13</v>
      </c>
      <c r="E56" s="47">
        <v>2.5660200000000002E-6</v>
      </c>
      <c r="F56" s="47">
        <v>3.4311999999999999E-19</v>
      </c>
      <c r="G56" s="47">
        <v>2.86137E-4</v>
      </c>
      <c r="H56" s="47">
        <v>1.8214999999999999E-12</v>
      </c>
      <c r="I56" s="47">
        <v>3.7303200000000004E-9</v>
      </c>
      <c r="J56" s="47">
        <v>3.3693799999999999E-5</v>
      </c>
      <c r="K56" s="47">
        <v>9.9999999999999999E-56</v>
      </c>
      <c r="L56" s="47">
        <v>1.52214E-13</v>
      </c>
      <c r="M56" s="47">
        <v>9.9205699999999998E-11</v>
      </c>
      <c r="N56" s="47">
        <v>7.2562300000000003E-9</v>
      </c>
      <c r="O56" s="47">
        <v>9.9999999999999999E-56</v>
      </c>
      <c r="P56" s="47">
        <v>9.9999999999999995E-7</v>
      </c>
    </row>
    <row r="57" spans="1:16">
      <c r="A57" s="47">
        <v>471.37</v>
      </c>
      <c r="B57" s="47">
        <v>8.0339200000000005E-5</v>
      </c>
      <c r="C57" s="47">
        <v>5.15482E-12</v>
      </c>
      <c r="D57" s="47">
        <v>1.07944E-13</v>
      </c>
      <c r="E57" s="47">
        <v>2.5405500000000002E-6</v>
      </c>
      <c r="F57" s="47">
        <v>3.4110000000000001E-19</v>
      </c>
      <c r="G57" s="47">
        <v>2.8676400000000001E-4</v>
      </c>
      <c r="H57" s="47">
        <v>1.81695E-12</v>
      </c>
      <c r="I57" s="47">
        <v>3.7117699999999999E-9</v>
      </c>
      <c r="J57" s="47">
        <v>3.3897499999999999E-5</v>
      </c>
      <c r="K57" s="47">
        <v>9.9999999999999999E-56</v>
      </c>
      <c r="L57" s="47">
        <v>1.12674E-13</v>
      </c>
      <c r="M57" s="47">
        <v>8.3290200000000003E-11</v>
      </c>
      <c r="N57" s="47">
        <v>7.1852399999999999E-9</v>
      </c>
      <c r="O57" s="47">
        <v>9.9999999999999999E-56</v>
      </c>
      <c r="P57" s="47">
        <v>9.9999999999999995E-7</v>
      </c>
    </row>
    <row r="58" spans="1:16">
      <c r="A58" s="47">
        <v>480.30500000000001</v>
      </c>
      <c r="B58" s="47">
        <v>7.9541800000000005E-5</v>
      </c>
      <c r="C58" s="47">
        <v>5.1634299999999999E-12</v>
      </c>
      <c r="D58" s="47">
        <v>1.0743E-13</v>
      </c>
      <c r="E58" s="47">
        <v>2.5153299999999999E-6</v>
      </c>
      <c r="F58" s="47">
        <v>3.3910300000000002E-19</v>
      </c>
      <c r="G58" s="47">
        <v>2.8738499999999997E-4</v>
      </c>
      <c r="H58" s="47">
        <v>1.81233E-12</v>
      </c>
      <c r="I58" s="47">
        <v>3.6933099999999999E-9</v>
      </c>
      <c r="J58" s="47">
        <v>3.4099300000000001E-5</v>
      </c>
      <c r="K58" s="47">
        <v>9.9999999999999999E-56</v>
      </c>
      <c r="L58" s="47">
        <v>8.3381799999999998E-14</v>
      </c>
      <c r="M58" s="47">
        <v>6.9907600000000005E-11</v>
      </c>
      <c r="N58" s="47">
        <v>7.1149300000000004E-9</v>
      </c>
      <c r="O58" s="47">
        <v>9.9999999999999999E-56</v>
      </c>
      <c r="P58" s="47">
        <v>9.9999999999999995E-7</v>
      </c>
    </row>
    <row r="59" spans="1:16">
      <c r="A59" s="47">
        <v>489.23899999999998</v>
      </c>
      <c r="B59" s="47">
        <v>7.8752300000000002E-5</v>
      </c>
      <c r="C59" s="47">
        <v>5.17205E-12</v>
      </c>
      <c r="D59" s="47">
        <v>1.06915E-13</v>
      </c>
      <c r="E59" s="47">
        <v>2.4903699999999999E-6</v>
      </c>
      <c r="F59" s="47">
        <v>3.3712699999999998E-19</v>
      </c>
      <c r="G59" s="47">
        <v>2.8800000000000001E-4</v>
      </c>
      <c r="H59" s="47">
        <v>1.80763E-12</v>
      </c>
      <c r="I59" s="47">
        <v>3.6749400000000001E-9</v>
      </c>
      <c r="J59" s="47">
        <v>3.4298999999999998E-5</v>
      </c>
      <c r="K59" s="47">
        <v>9.9999999999999999E-56</v>
      </c>
      <c r="L59" s="47">
        <v>6.1686999999999998E-14</v>
      </c>
      <c r="M59" s="47">
        <v>5.8658099999999996E-11</v>
      </c>
      <c r="N59" s="47">
        <v>7.0453000000000001E-9</v>
      </c>
      <c r="O59" s="47">
        <v>9.9999999999999999E-56</v>
      </c>
      <c r="P59" s="47">
        <v>9.9999999999999995E-7</v>
      </c>
    </row>
    <row r="60" spans="1:16">
      <c r="A60" s="47">
        <v>498.17399999999998</v>
      </c>
      <c r="B60" s="47">
        <v>7.7970699999999995E-5</v>
      </c>
      <c r="C60" s="47">
        <v>5.1806800000000001E-12</v>
      </c>
      <c r="D60" s="47">
        <v>1.06401E-13</v>
      </c>
      <c r="E60" s="47">
        <v>2.4656499999999998E-6</v>
      </c>
      <c r="F60" s="47">
        <v>3.3517299999999999E-19</v>
      </c>
      <c r="G60" s="47">
        <v>2.8860799999999999E-4</v>
      </c>
      <c r="H60" s="47">
        <v>1.8028499999999999E-12</v>
      </c>
      <c r="I60" s="47">
        <v>3.6566600000000001E-9</v>
      </c>
      <c r="J60" s="47">
        <v>3.4496699999999998E-5</v>
      </c>
      <c r="K60" s="47">
        <v>9.9999999999999999E-56</v>
      </c>
      <c r="L60" s="47">
        <v>4.5623800000000003E-14</v>
      </c>
      <c r="M60" s="47">
        <v>4.9204400000000002E-11</v>
      </c>
      <c r="N60" s="47">
        <v>6.9763399999999999E-9</v>
      </c>
      <c r="O60" s="47">
        <v>9.9999999999999999E-56</v>
      </c>
      <c r="P60" s="47">
        <v>9.9999999999999995E-7</v>
      </c>
    </row>
    <row r="61" spans="1:16">
      <c r="A61" s="47">
        <v>507.108</v>
      </c>
      <c r="B61" s="47">
        <v>7.7196799999999999E-5</v>
      </c>
      <c r="C61" s="47">
        <v>5.1893000000000001E-12</v>
      </c>
      <c r="D61" s="47">
        <v>1.05886E-13</v>
      </c>
      <c r="E61" s="47">
        <v>2.4411799999999999E-6</v>
      </c>
      <c r="F61" s="47">
        <v>3.33241E-19</v>
      </c>
      <c r="G61" s="47">
        <v>2.8921099999999999E-4</v>
      </c>
      <c r="H61" s="47">
        <v>1.7979900000000001E-12</v>
      </c>
      <c r="I61" s="47">
        <v>3.6384700000000002E-9</v>
      </c>
      <c r="J61" s="47">
        <v>3.46925E-5</v>
      </c>
      <c r="K61" s="47">
        <v>9.9999999999999999E-56</v>
      </c>
      <c r="L61" s="47">
        <v>3.3733899999999997E-14</v>
      </c>
      <c r="M61" s="47">
        <v>4.1262299999999998E-11</v>
      </c>
      <c r="N61" s="47">
        <v>6.9080499999999999E-9</v>
      </c>
      <c r="O61" s="47">
        <v>9.9999999999999999E-56</v>
      </c>
      <c r="P61" s="47">
        <v>9.9999999999999995E-7</v>
      </c>
    </row>
    <row r="62" spans="1:16">
      <c r="A62" s="47">
        <v>516.04200000000003</v>
      </c>
      <c r="B62" s="47">
        <v>7.64306E-5</v>
      </c>
      <c r="C62" s="47">
        <v>5.1979300000000002E-12</v>
      </c>
      <c r="D62" s="47">
        <v>1.05372E-13</v>
      </c>
      <c r="E62" s="47">
        <v>2.4169499999999998E-6</v>
      </c>
      <c r="F62" s="47">
        <v>3.3133000000000001E-19</v>
      </c>
      <c r="G62" s="47">
        <v>2.8980800000000001E-4</v>
      </c>
      <c r="H62" s="47">
        <v>1.79306E-12</v>
      </c>
      <c r="I62" s="47">
        <v>3.62037E-9</v>
      </c>
      <c r="J62" s="47">
        <v>3.4886399999999999E-5</v>
      </c>
      <c r="K62" s="47">
        <v>9.9999999999999999E-56</v>
      </c>
      <c r="L62" s="47">
        <v>2.49354E-14</v>
      </c>
      <c r="M62" s="47">
        <v>3.4591999999999998E-11</v>
      </c>
      <c r="N62" s="47">
        <v>6.8404100000000004E-9</v>
      </c>
      <c r="O62" s="47">
        <v>9.9999999999999999E-56</v>
      </c>
      <c r="P62" s="47">
        <v>9.9999999999999995E-7</v>
      </c>
    </row>
    <row r="63" spans="1:16">
      <c r="A63" s="47">
        <v>524.97699999999998</v>
      </c>
      <c r="B63" s="47">
        <v>7.5672000000000003E-5</v>
      </c>
      <c r="C63" s="47">
        <v>5.2065600000000004E-12</v>
      </c>
      <c r="D63" s="47">
        <v>1.04857E-13</v>
      </c>
      <c r="E63" s="47">
        <v>2.39296E-6</v>
      </c>
      <c r="F63" s="47">
        <v>3.2943899999999998E-19</v>
      </c>
      <c r="G63" s="47">
        <v>2.9039799999999998E-4</v>
      </c>
      <c r="H63" s="47">
        <v>1.78805E-12</v>
      </c>
      <c r="I63" s="47">
        <v>3.60236E-9</v>
      </c>
      <c r="J63" s="47">
        <v>3.5078299999999999E-5</v>
      </c>
      <c r="K63" s="47">
        <v>9.9999999999999999E-56</v>
      </c>
      <c r="L63" s="47">
        <v>1.8426400000000001E-14</v>
      </c>
      <c r="M63" s="47">
        <v>2.8991500000000001E-11</v>
      </c>
      <c r="N63" s="47">
        <v>6.7734300000000003E-9</v>
      </c>
      <c r="O63" s="47">
        <v>9.9999999999999999E-56</v>
      </c>
      <c r="P63" s="47">
        <v>9.9999999999999995E-7</v>
      </c>
    </row>
    <row r="64" spans="1:16">
      <c r="A64" s="47">
        <v>545</v>
      </c>
      <c r="B64" s="47">
        <v>7.3999199999999994E-5</v>
      </c>
      <c r="C64" s="47">
        <v>5.2259000000000002E-12</v>
      </c>
      <c r="D64" s="47">
        <v>1.03704E-13</v>
      </c>
      <c r="E64" s="47">
        <v>2.34006E-6</v>
      </c>
      <c r="F64" s="47">
        <v>3.2527800000000002E-19</v>
      </c>
      <c r="G64" s="47">
        <v>2.91701E-4</v>
      </c>
      <c r="H64" s="47">
        <v>1.77657E-12</v>
      </c>
      <c r="I64" s="47">
        <v>3.5623200000000002E-9</v>
      </c>
      <c r="J64" s="47">
        <v>3.5501499999999999E-5</v>
      </c>
      <c r="K64" s="47">
        <v>9.9999999999999999E-56</v>
      </c>
      <c r="L64" s="47">
        <v>9.3446099999999994E-15</v>
      </c>
      <c r="M64" s="47">
        <v>1.9494000000000001E-11</v>
      </c>
      <c r="N64" s="47">
        <v>6.6256500000000002E-9</v>
      </c>
      <c r="O64" s="47">
        <v>9.9999999999999999E-56</v>
      </c>
      <c r="P64" s="47">
        <v>9.9999999999999995E-7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36"/>
  <sheetViews>
    <sheetView tabSelected="1" zoomScale="85" zoomScaleNormal="85" workbookViewId="0">
      <selection activeCell="A5" sqref="A5"/>
    </sheetView>
  </sheetViews>
  <sheetFormatPr defaultColWidth="8.7109375" defaultRowHeight="12.75"/>
  <cols>
    <col min="1" max="1" width="85.42578125" customWidth="1"/>
  </cols>
  <sheetData>
    <row r="1" spans="1:1" ht="21" thickBot="1">
      <c r="A1" s="31" t="s">
        <v>40</v>
      </c>
    </row>
    <row r="2" spans="1:1" ht="22.5">
      <c r="A2" s="46" t="s">
        <v>44</v>
      </c>
    </row>
    <row r="3" spans="1:1" ht="13.5" thickBot="1"/>
    <row r="4" spans="1:1" ht="15">
      <c r="A4" s="29" t="s">
        <v>107</v>
      </c>
    </row>
    <row r="5" spans="1:1" ht="18">
      <c r="A5" s="68"/>
    </row>
    <row r="6" spans="1:1" ht="25.35" customHeight="1" thickBot="1">
      <c r="A6" s="43"/>
    </row>
    <row r="7" spans="1:1" ht="15">
      <c r="A7" s="29" t="s">
        <v>41</v>
      </c>
    </row>
    <row r="8" spans="1:1">
      <c r="A8" s="70" t="s">
        <v>319</v>
      </c>
    </row>
    <row r="10" spans="1:1" ht="13.5" thickBot="1"/>
    <row r="11" spans="1:1" ht="15.75">
      <c r="A11" s="28" t="s">
        <v>38</v>
      </c>
    </row>
    <row r="12" spans="1:1" ht="13.5" thickBot="1">
      <c r="A12" s="30" t="s">
        <v>231</v>
      </c>
    </row>
    <row r="13" spans="1:1">
      <c r="A13" s="70"/>
    </row>
    <row r="17" spans="1:1">
      <c r="A17" s="70" t="s">
        <v>193</v>
      </c>
    </row>
    <row r="20" spans="1:1">
      <c r="A20" t="s">
        <v>17</v>
      </c>
    </row>
    <row r="21" spans="1:1">
      <c r="A21" s="70" t="s">
        <v>197</v>
      </c>
    </row>
    <row r="27" spans="1:1">
      <c r="A27" s="65" t="b">
        <v>0</v>
      </c>
    </row>
    <row r="29" spans="1:1">
      <c r="A29" s="70" t="s">
        <v>198</v>
      </c>
    </row>
    <row r="30" spans="1:1">
      <c r="A30" s="70" t="s">
        <v>135</v>
      </c>
    </row>
    <row r="31" spans="1:1">
      <c r="A31" s="70"/>
    </row>
    <row r="32" spans="1:1">
      <c r="A32" s="70"/>
    </row>
    <row r="34" spans="1:1">
      <c r="A34" s="70" t="s">
        <v>208</v>
      </c>
    </row>
    <row r="35" spans="1:1">
      <c r="A35" s="70"/>
    </row>
    <row r="36" spans="1:1">
      <c r="A36" s="70" t="s">
        <v>136</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_KINTECUS">
                <anchor moveWithCells="1" sizeWithCells="1">
                  <from>
                    <xdr:col>0</xdr:col>
                    <xdr:colOff>1828800</xdr:colOff>
                    <xdr:row>15</xdr:row>
                    <xdr:rowOff>66675</xdr:rowOff>
                  </from>
                  <to>
                    <xdr:col>0</xdr:col>
                    <xdr:colOff>3000375</xdr:colOff>
                    <xdr:row>17</xdr:row>
                    <xdr:rowOff>142875</xdr:rowOff>
                  </to>
                </anchor>
              </controlPr>
            </control>
          </mc:Choice>
        </mc:AlternateContent>
        <mc:AlternateContent xmlns:mc="http://schemas.openxmlformats.org/markup-compatibility/2006">
          <mc:Choice Requires="x14">
            <control shapeId="1027" r:id="rId5" name="Button 3">
              <controlPr defaultSize="0" print="0" autoFill="0" autoPict="0" macro="[0]!Kintecus_Plot">
                <anchor moveWithCells="1" sizeWithCells="1">
                  <from>
                    <xdr:col>0</xdr:col>
                    <xdr:colOff>2047875</xdr:colOff>
                    <xdr:row>18</xdr:row>
                    <xdr:rowOff>104775</xdr:rowOff>
                  </from>
                  <to>
                    <xdr:col>0</xdr:col>
                    <xdr:colOff>2771775</xdr:colOff>
                    <xdr:row>20</xdr:row>
                    <xdr:rowOff>104775</xdr:rowOff>
                  </to>
                </anchor>
              </controlPr>
            </control>
          </mc:Choice>
        </mc:AlternateContent>
        <mc:AlternateContent xmlns:mc="http://schemas.openxmlformats.org/markup-compatibility/2006">
          <mc:Choice Requires="x14">
            <control shapeId="1029" r:id="rId6" name="Button 5">
              <controlPr defaultSize="0" print="0" autoFill="0" autoPict="0" macro="[0]!Kintecus_ADDSPEC">
                <anchor moveWithCells="1" sizeWithCells="1">
                  <from>
                    <xdr:col>0</xdr:col>
                    <xdr:colOff>1323975</xdr:colOff>
                    <xdr:row>21</xdr:row>
                    <xdr:rowOff>104775</xdr:rowOff>
                  </from>
                  <to>
                    <xdr:col>0</xdr:col>
                    <xdr:colOff>3571875</xdr:colOff>
                    <xdr:row>23</xdr:row>
                    <xdr:rowOff>28575</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0</xdr:col>
                    <xdr:colOff>38100</xdr:colOff>
                    <xdr:row>25</xdr:row>
                    <xdr:rowOff>114300</xdr:rowOff>
                  </from>
                  <to>
                    <xdr:col>0</xdr:col>
                    <xdr:colOff>2009775</xdr:colOff>
                    <xdr:row>27</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U204"/>
  <sheetViews>
    <sheetView zoomScale="85" zoomScaleNormal="85" workbookViewId="0">
      <selection activeCell="B6" sqref="B6"/>
    </sheetView>
  </sheetViews>
  <sheetFormatPr defaultColWidth="8.7109375" defaultRowHeight="12.75"/>
  <cols>
    <col min="1" max="1" width="17" style="38" customWidth="1"/>
    <col min="2" max="2" width="71.140625" style="38" bestFit="1" customWidth="1"/>
    <col min="3" max="3" width="58.7109375" style="91" bestFit="1" customWidth="1"/>
    <col min="4" max="4" width="9.7109375" style="38" bestFit="1" customWidth="1"/>
    <col min="5" max="5" width="14.28515625" style="38" customWidth="1"/>
    <col min="6" max="6" width="20.85546875" style="92" bestFit="1" customWidth="1"/>
    <col min="7" max="7" width="9.42578125" style="92" bestFit="1" customWidth="1"/>
    <col min="8" max="8" width="25.28515625" style="92" customWidth="1"/>
    <col min="9" max="10" width="9.42578125" style="92" bestFit="1" customWidth="1"/>
    <col min="11" max="11" width="12.42578125" style="92" bestFit="1" customWidth="1"/>
    <col min="12" max="12" width="8.7109375" style="92"/>
    <col min="13" max="13" width="9.42578125" style="92" bestFit="1" customWidth="1"/>
    <col min="14" max="16384" width="8.7109375" style="92"/>
  </cols>
  <sheetData>
    <row r="1" spans="1:21" ht="18.75" thickBot="1">
      <c r="A1" s="24" t="s">
        <v>3</v>
      </c>
      <c r="B1" s="117" t="s">
        <v>92</v>
      </c>
      <c r="C1" s="118"/>
      <c r="D1" s="119"/>
      <c r="E1" s="120"/>
    </row>
    <row r="2" spans="1:21">
      <c r="A2" s="8" t="s">
        <v>318</v>
      </c>
      <c r="B2" s="121"/>
      <c r="C2" s="122"/>
      <c r="D2" s="121"/>
      <c r="E2" s="123"/>
    </row>
    <row r="3" spans="1:21">
      <c r="A3" s="17" t="s">
        <v>317</v>
      </c>
      <c r="B3" s="112"/>
      <c r="C3" s="113"/>
      <c r="D3" s="112"/>
      <c r="E3" s="124"/>
    </row>
    <row r="4" spans="1:21" ht="13.5" thickBot="1">
      <c r="A4" s="13" t="s">
        <v>94</v>
      </c>
      <c r="B4" s="125" t="s">
        <v>93</v>
      </c>
      <c r="C4" s="126" t="s">
        <v>5</v>
      </c>
      <c r="D4" s="125"/>
      <c r="E4" s="127"/>
    </row>
    <row r="5" spans="1:21">
      <c r="A5" s="128" t="s">
        <v>306</v>
      </c>
      <c r="B5" s="129"/>
      <c r="C5" s="130"/>
      <c r="D5" s="129"/>
      <c r="E5" s="131"/>
    </row>
    <row r="6" spans="1:21">
      <c r="A6" s="132">
        <f>'UV irradiation'!B3</f>
        <v>6.9625967105363721E-4</v>
      </c>
      <c r="B6" s="103" t="s">
        <v>116</v>
      </c>
      <c r="C6" s="106"/>
      <c r="D6" s="104"/>
      <c r="E6" s="133"/>
      <c r="F6" s="98"/>
      <c r="G6" s="98"/>
      <c r="H6" s="98"/>
      <c r="I6" s="98"/>
      <c r="J6" s="98"/>
      <c r="K6" s="98"/>
      <c r="L6" s="98"/>
      <c r="M6" s="98"/>
      <c r="N6" s="98"/>
      <c r="O6" s="98"/>
      <c r="P6" s="98"/>
      <c r="Q6" s="98"/>
      <c r="R6" s="98"/>
      <c r="S6" s="98"/>
      <c r="T6" s="98"/>
      <c r="U6" s="98"/>
    </row>
    <row r="7" spans="1:21">
      <c r="A7" s="132">
        <f>'UV irradiation'!B4</f>
        <v>4.5064131199496935E-4</v>
      </c>
      <c r="B7" s="103" t="s">
        <v>137</v>
      </c>
      <c r="C7" s="102"/>
      <c r="D7" s="104"/>
      <c r="E7" s="133"/>
      <c r="F7" s="98"/>
      <c r="G7" s="98"/>
      <c r="H7" s="98"/>
      <c r="I7" s="98"/>
      <c r="J7" s="98"/>
      <c r="K7" s="98"/>
      <c r="L7" s="98"/>
      <c r="M7" s="98"/>
      <c r="N7" s="98"/>
      <c r="O7" s="98"/>
      <c r="P7" s="98"/>
      <c r="Q7" s="98"/>
      <c r="R7" s="98"/>
      <c r="S7" s="98"/>
      <c r="T7" s="98"/>
      <c r="U7" s="98"/>
    </row>
    <row r="8" spans="1:21">
      <c r="A8" s="132">
        <f>'UV irradiation'!B7</f>
        <v>1.3318954332295762E-4</v>
      </c>
      <c r="B8" s="103" t="s">
        <v>272</v>
      </c>
      <c r="C8" s="102"/>
      <c r="D8" s="104"/>
      <c r="E8" s="133"/>
      <c r="F8" s="98"/>
      <c r="G8" s="98"/>
      <c r="H8" s="98"/>
      <c r="I8" s="98"/>
      <c r="J8" s="98"/>
      <c r="K8" s="98"/>
      <c r="L8" s="98"/>
      <c r="M8" s="98"/>
      <c r="N8" s="98"/>
      <c r="O8" s="98"/>
      <c r="P8" s="98"/>
      <c r="Q8" s="98"/>
      <c r="R8" s="98"/>
      <c r="S8" s="98"/>
      <c r="T8" s="98"/>
      <c r="U8" s="98"/>
    </row>
    <row r="9" spans="1:21">
      <c r="A9" s="132">
        <f>'UV irradiation'!B8</f>
        <v>7.4105460194728295E-5</v>
      </c>
      <c r="B9" s="103" t="s">
        <v>295</v>
      </c>
      <c r="C9" s="102"/>
      <c r="D9" s="104"/>
      <c r="E9" s="133"/>
      <c r="F9" s="98"/>
      <c r="G9" s="98"/>
      <c r="H9" s="98"/>
      <c r="I9" s="98"/>
      <c r="J9" s="98"/>
      <c r="K9" s="98"/>
      <c r="L9" s="98"/>
      <c r="M9" s="98"/>
      <c r="N9" s="98"/>
      <c r="O9" s="98"/>
      <c r="P9" s="98"/>
      <c r="Q9" s="98"/>
      <c r="R9" s="98"/>
      <c r="S9" s="98"/>
      <c r="T9" s="98"/>
      <c r="U9" s="98"/>
    </row>
    <row r="10" spans="1:21" ht="13.5" customHeight="1">
      <c r="A10" s="132">
        <f>'UV irradiation'!B11</f>
        <v>2.9612033643635981E-2</v>
      </c>
      <c r="B10" s="103" t="s">
        <v>294</v>
      </c>
      <c r="C10" s="102"/>
      <c r="D10" s="105"/>
      <c r="E10" s="133"/>
      <c r="F10" s="98"/>
      <c r="G10" s="98"/>
      <c r="H10" s="98"/>
      <c r="I10" s="98"/>
      <c r="J10" s="98"/>
      <c r="K10" s="98"/>
      <c r="L10" s="98"/>
      <c r="M10" s="98"/>
      <c r="N10" s="98"/>
      <c r="O10" s="98"/>
      <c r="P10" s="98"/>
      <c r="Q10" s="98"/>
      <c r="R10" s="98"/>
      <c r="S10" s="98"/>
      <c r="T10" s="98"/>
      <c r="U10" s="98"/>
    </row>
    <row r="11" spans="1:21" ht="13.5" customHeight="1">
      <c r="A11" s="132" t="s">
        <v>307</v>
      </c>
      <c r="B11" s="103"/>
      <c r="C11" s="102"/>
      <c r="D11" s="105"/>
      <c r="E11" s="133"/>
      <c r="F11" s="98"/>
      <c r="G11" s="98"/>
      <c r="H11" s="98"/>
      <c r="I11" s="98"/>
      <c r="J11" s="98"/>
      <c r="K11" s="98"/>
      <c r="L11" s="98"/>
      <c r="M11" s="98"/>
      <c r="N11" s="98"/>
      <c r="O11" s="98"/>
      <c r="P11" s="98"/>
      <c r="Q11" s="98"/>
      <c r="R11" s="98"/>
      <c r="S11" s="98"/>
      <c r="T11" s="98"/>
      <c r="U11" s="98"/>
    </row>
    <row r="12" spans="1:21" ht="14.1" customHeight="1">
      <c r="A12" s="132">
        <v>18000000000</v>
      </c>
      <c r="B12" s="103" t="s">
        <v>293</v>
      </c>
      <c r="C12" s="102"/>
      <c r="D12" s="105"/>
      <c r="E12" s="133"/>
      <c r="F12" s="98"/>
      <c r="G12" s="98"/>
      <c r="H12" s="98"/>
      <c r="I12" s="98"/>
      <c r="J12" s="98"/>
      <c r="K12" s="98"/>
      <c r="L12" s="98"/>
      <c r="M12" s="98"/>
      <c r="N12" s="98"/>
      <c r="O12" s="98"/>
      <c r="P12" s="98"/>
      <c r="Q12" s="98"/>
      <c r="R12" s="98"/>
      <c r="S12" s="98"/>
      <c r="T12" s="98"/>
      <c r="U12" s="98"/>
    </row>
    <row r="13" spans="1:21" ht="14.1" customHeight="1">
      <c r="A13" s="132">
        <v>4000000000</v>
      </c>
      <c r="B13" s="103" t="s">
        <v>300</v>
      </c>
      <c r="C13" s="102"/>
      <c r="D13" s="105"/>
      <c r="E13" s="133"/>
      <c r="F13" s="98"/>
      <c r="G13" s="98"/>
      <c r="H13" s="98"/>
      <c r="I13" s="98"/>
      <c r="J13" s="98"/>
      <c r="K13" s="98"/>
      <c r="L13" s="98"/>
      <c r="M13" s="98"/>
      <c r="N13" s="98"/>
      <c r="O13" s="98"/>
      <c r="P13" s="98"/>
      <c r="Q13" s="98"/>
      <c r="R13" s="98"/>
      <c r="S13" s="98"/>
      <c r="T13" s="98"/>
      <c r="U13" s="98"/>
    </row>
    <row r="14" spans="1:21" ht="14.1" customHeight="1">
      <c r="A14" s="132" t="s">
        <v>308</v>
      </c>
      <c r="B14" s="103"/>
      <c r="C14" s="102"/>
      <c r="D14" s="105"/>
      <c r="E14" s="133"/>
      <c r="F14" s="98"/>
      <c r="G14" s="98"/>
      <c r="H14" s="98"/>
      <c r="I14" s="98"/>
      <c r="J14" s="98"/>
      <c r="K14" s="98"/>
      <c r="L14" s="98"/>
      <c r="M14" s="98"/>
      <c r="N14" s="98"/>
      <c r="O14" s="98"/>
      <c r="P14" s="98"/>
      <c r="Q14" s="98"/>
      <c r="R14" s="98"/>
      <c r="S14" s="98"/>
      <c r="T14" s="98"/>
      <c r="U14" s="98"/>
    </row>
    <row r="15" spans="1:21" ht="13.5" customHeight="1">
      <c r="A15" s="132">
        <v>110</v>
      </c>
      <c r="B15" s="103" t="s">
        <v>296</v>
      </c>
      <c r="C15" s="102"/>
      <c r="D15" s="105"/>
      <c r="E15" s="133"/>
      <c r="F15" s="98"/>
      <c r="G15" s="98"/>
      <c r="H15" s="98"/>
      <c r="I15" s="98"/>
      <c r="J15" s="98"/>
      <c r="K15" s="98"/>
      <c r="L15" s="98"/>
      <c r="M15" s="98"/>
      <c r="N15" s="98"/>
      <c r="O15" s="98"/>
      <c r="P15" s="98"/>
      <c r="Q15" s="98"/>
      <c r="R15" s="98"/>
      <c r="S15" s="98"/>
      <c r="T15" s="98"/>
      <c r="U15" s="98"/>
    </row>
    <row r="16" spans="1:21" ht="13.5" customHeight="1">
      <c r="A16" s="132">
        <v>30</v>
      </c>
      <c r="B16" s="103" t="s">
        <v>297</v>
      </c>
      <c r="C16" s="102"/>
      <c r="D16" s="105"/>
      <c r="E16" s="133"/>
      <c r="F16" s="98"/>
      <c r="G16" s="98"/>
      <c r="H16" s="98"/>
      <c r="I16" s="98"/>
      <c r="J16" s="98"/>
      <c r="K16" s="98"/>
      <c r="L16" s="98"/>
      <c r="M16" s="98"/>
      <c r="N16" s="98"/>
      <c r="O16" s="98"/>
      <c r="P16" s="98"/>
      <c r="Q16" s="98"/>
      <c r="R16" s="98"/>
      <c r="S16" s="98"/>
      <c r="T16" s="98"/>
      <c r="U16" s="98"/>
    </row>
    <row r="17" spans="1:21" ht="14.1" customHeight="1">
      <c r="A17" s="132" t="s">
        <v>309</v>
      </c>
      <c r="B17" s="103"/>
      <c r="C17" s="102"/>
      <c r="D17" s="105"/>
      <c r="E17" s="133"/>
      <c r="F17" s="98"/>
      <c r="G17" s="98"/>
      <c r="H17" s="98"/>
      <c r="I17" s="98"/>
      <c r="J17" s="98"/>
      <c r="K17" s="98"/>
      <c r="L17" s="98"/>
      <c r="M17" s="98"/>
      <c r="N17" s="98"/>
      <c r="O17" s="98"/>
      <c r="P17" s="98"/>
      <c r="Q17" s="98"/>
      <c r="R17" s="98"/>
      <c r="S17" s="98"/>
      <c r="T17" s="98"/>
      <c r="U17" s="98"/>
    </row>
    <row r="18" spans="1:21">
      <c r="A18" s="132">
        <v>140000000</v>
      </c>
      <c r="B18" s="103" t="s">
        <v>289</v>
      </c>
      <c r="C18" s="102"/>
      <c r="D18" s="106"/>
      <c r="E18" s="133"/>
      <c r="F18" s="98"/>
      <c r="G18" s="98"/>
      <c r="H18" s="98"/>
      <c r="I18" s="98"/>
      <c r="J18" s="98"/>
      <c r="K18" s="98"/>
      <c r="L18" s="98"/>
      <c r="M18" s="98"/>
      <c r="N18" s="98"/>
      <c r="O18" s="98"/>
      <c r="P18" s="98"/>
      <c r="Q18" s="98"/>
      <c r="R18" s="98"/>
      <c r="S18" s="98"/>
      <c r="T18" s="98"/>
      <c r="U18" s="98"/>
    </row>
    <row r="19" spans="1:21">
      <c r="A19" s="132">
        <v>2000000000</v>
      </c>
      <c r="B19" s="103" t="s">
        <v>290</v>
      </c>
      <c r="C19" s="102"/>
      <c r="D19" s="106"/>
      <c r="E19" s="133"/>
      <c r="F19" s="98"/>
      <c r="G19" s="98"/>
      <c r="H19" s="98"/>
      <c r="I19" s="98"/>
      <c r="J19" s="98"/>
      <c r="K19" s="98"/>
      <c r="L19" s="98"/>
      <c r="M19" s="98"/>
      <c r="N19" s="98"/>
      <c r="O19" s="98"/>
      <c r="P19" s="98"/>
      <c r="Q19" s="98"/>
      <c r="R19" s="98"/>
      <c r="S19" s="98"/>
      <c r="T19" s="98"/>
      <c r="U19" s="98"/>
    </row>
    <row r="20" spans="1:21">
      <c r="A20" s="132">
        <v>3000000000</v>
      </c>
      <c r="B20" s="103" t="s">
        <v>291</v>
      </c>
      <c r="C20" s="102"/>
      <c r="D20" s="106"/>
      <c r="E20" s="133"/>
      <c r="F20" s="98"/>
      <c r="G20" s="98"/>
      <c r="H20" s="98"/>
      <c r="I20" s="98"/>
      <c r="J20" s="98"/>
      <c r="K20" s="98"/>
      <c r="L20" s="98"/>
      <c r="M20" s="98"/>
      <c r="N20" s="98"/>
      <c r="O20" s="98"/>
      <c r="P20" s="98"/>
      <c r="Q20" s="98"/>
      <c r="R20" s="98"/>
      <c r="S20" s="98"/>
      <c r="T20" s="98"/>
      <c r="U20" s="98"/>
    </row>
    <row r="21" spans="1:21">
      <c r="A21" s="132">
        <v>10000000000</v>
      </c>
      <c r="B21" s="103" t="s">
        <v>292</v>
      </c>
      <c r="C21" s="102"/>
      <c r="D21" s="106"/>
      <c r="E21" s="133"/>
      <c r="F21" s="98"/>
      <c r="G21" s="98"/>
      <c r="H21" s="98"/>
      <c r="I21" s="98"/>
      <c r="J21" s="98"/>
      <c r="K21" s="98"/>
      <c r="L21" s="98"/>
      <c r="M21" s="98"/>
      <c r="N21" s="98"/>
      <c r="O21" s="98"/>
      <c r="P21" s="98"/>
      <c r="Q21" s="98"/>
      <c r="R21" s="98"/>
      <c r="S21" s="98"/>
      <c r="T21" s="98"/>
      <c r="U21" s="98"/>
    </row>
    <row r="22" spans="1:21" ht="14.1" customHeight="1">
      <c r="A22" s="132">
        <v>290000000</v>
      </c>
      <c r="B22" s="103" t="s">
        <v>280</v>
      </c>
      <c r="C22" s="102"/>
      <c r="D22" s="105"/>
      <c r="E22" s="133"/>
      <c r="F22" s="98"/>
      <c r="G22" s="98"/>
      <c r="H22" s="98"/>
      <c r="I22" s="98"/>
      <c r="J22" s="98"/>
      <c r="K22" s="98"/>
      <c r="L22" s="98"/>
      <c r="M22" s="98"/>
      <c r="N22" s="98"/>
      <c r="O22" s="98"/>
      <c r="P22" s="98"/>
      <c r="Q22" s="98"/>
      <c r="R22" s="98"/>
      <c r="S22" s="98"/>
      <c r="T22" s="98"/>
      <c r="U22" s="98"/>
    </row>
    <row r="23" spans="1:21">
      <c r="A23" s="132" t="s">
        <v>310</v>
      </c>
      <c r="B23" s="103"/>
      <c r="C23" s="102"/>
      <c r="D23" s="106"/>
      <c r="E23" s="133"/>
      <c r="F23" s="98"/>
      <c r="G23" s="98"/>
      <c r="H23" s="98"/>
      <c r="I23" s="98"/>
      <c r="J23" s="98"/>
      <c r="K23" s="98"/>
      <c r="L23" s="98"/>
      <c r="M23" s="98"/>
      <c r="N23" s="98"/>
      <c r="O23" s="98"/>
      <c r="P23" s="98"/>
      <c r="Q23" s="98"/>
      <c r="R23" s="98"/>
      <c r="S23" s="98"/>
      <c r="T23" s="98"/>
      <c r="U23" s="98"/>
    </row>
    <row r="24" spans="1:21">
      <c r="A24" s="132">
        <v>4300000000</v>
      </c>
      <c r="B24" s="103" t="s">
        <v>112</v>
      </c>
      <c r="C24" s="102"/>
      <c r="D24" s="106"/>
      <c r="E24" s="133"/>
      <c r="F24" s="98"/>
      <c r="G24" s="98"/>
      <c r="H24" s="98"/>
      <c r="I24" s="98"/>
      <c r="J24" s="98"/>
      <c r="K24" s="98"/>
      <c r="L24" s="98"/>
      <c r="M24" s="98"/>
      <c r="N24" s="98"/>
      <c r="O24" s="98"/>
      <c r="P24" s="98"/>
      <c r="Q24" s="98"/>
      <c r="R24" s="98"/>
      <c r="S24" s="98"/>
      <c r="T24" s="98"/>
      <c r="U24" s="98"/>
    </row>
    <row r="25" spans="1:21">
      <c r="A25" s="132">
        <v>18000000000</v>
      </c>
      <c r="B25" s="103" t="s">
        <v>265</v>
      </c>
      <c r="C25" s="102"/>
      <c r="D25" s="106"/>
      <c r="E25" s="133"/>
      <c r="F25" s="98"/>
      <c r="G25" s="98"/>
      <c r="H25" s="98"/>
      <c r="I25" s="98"/>
      <c r="J25" s="98"/>
      <c r="K25" s="98"/>
      <c r="L25" s="98"/>
      <c r="M25" s="98"/>
      <c r="N25" s="98"/>
      <c r="O25" s="98"/>
      <c r="P25" s="98"/>
      <c r="Q25" s="98"/>
      <c r="R25" s="98"/>
      <c r="S25" s="98"/>
      <c r="T25" s="98"/>
      <c r="U25" s="98"/>
    </row>
    <row r="26" spans="1:21">
      <c r="A26" s="132">
        <f>250000/55.6</f>
        <v>4496.4028776978412</v>
      </c>
      <c r="B26" s="103" t="s">
        <v>225</v>
      </c>
      <c r="C26" s="102"/>
      <c r="D26" s="106"/>
      <c r="E26" s="133"/>
      <c r="F26" s="98"/>
      <c r="G26" s="98"/>
      <c r="H26" s="98"/>
      <c r="I26" s="98"/>
      <c r="J26" s="98"/>
      <c r="K26" s="98"/>
      <c r="L26" s="98"/>
      <c r="M26" s="98"/>
      <c r="N26" s="98"/>
      <c r="O26" s="98"/>
      <c r="P26" s="98"/>
      <c r="Q26" s="98"/>
      <c r="R26" s="98"/>
      <c r="S26" s="98"/>
      <c r="T26" s="98"/>
      <c r="U26" s="98"/>
    </row>
    <row r="27" spans="1:21">
      <c r="A27" s="132">
        <v>6100000000</v>
      </c>
      <c r="B27" s="103" t="s">
        <v>113</v>
      </c>
      <c r="C27" s="102"/>
      <c r="D27" s="106"/>
      <c r="E27" s="133"/>
      <c r="F27" s="101"/>
      <c r="G27" s="98"/>
      <c r="H27" s="98"/>
      <c r="I27" s="98"/>
      <c r="J27" s="98"/>
      <c r="K27" s="98"/>
      <c r="L27" s="98"/>
      <c r="M27" s="98"/>
      <c r="N27" s="98"/>
      <c r="O27" s="98"/>
      <c r="P27" s="98"/>
      <c r="Q27" s="98"/>
      <c r="R27" s="98"/>
      <c r="S27" s="98"/>
      <c r="T27" s="98"/>
      <c r="U27" s="98"/>
    </row>
    <row r="28" spans="1:21">
      <c r="A28" s="132">
        <v>23</v>
      </c>
      <c r="B28" s="103" t="s">
        <v>114</v>
      </c>
      <c r="C28" s="102"/>
      <c r="D28" s="106"/>
      <c r="E28" s="133"/>
      <c r="F28" s="98"/>
      <c r="G28" s="98"/>
      <c r="H28" s="98"/>
      <c r="I28" s="98"/>
      <c r="J28" s="98"/>
      <c r="K28" s="98"/>
      <c r="L28" s="98"/>
      <c r="M28" s="98"/>
      <c r="N28" s="98"/>
      <c r="O28" s="98"/>
      <c r="P28" s="98"/>
      <c r="Q28" s="98"/>
      <c r="R28" s="98"/>
      <c r="S28" s="98"/>
      <c r="T28" s="98"/>
      <c r="U28" s="98"/>
    </row>
    <row r="29" spans="1:21">
      <c r="A29" s="132">
        <v>21000000000</v>
      </c>
      <c r="B29" s="103" t="s">
        <v>153</v>
      </c>
      <c r="C29" s="102"/>
      <c r="D29" s="106"/>
      <c r="E29" s="133"/>
      <c r="I29" s="98"/>
      <c r="J29" s="98"/>
      <c r="K29" s="98"/>
      <c r="L29" s="98"/>
      <c r="M29" s="98"/>
      <c r="N29" s="98"/>
      <c r="O29" s="98"/>
    </row>
    <row r="30" spans="1:21">
      <c r="A30" s="132" t="s">
        <v>311</v>
      </c>
      <c r="B30" s="103"/>
      <c r="C30" s="102"/>
      <c r="D30" s="106"/>
      <c r="E30" s="133"/>
      <c r="I30" s="98"/>
      <c r="J30" s="98"/>
      <c r="K30" s="98"/>
      <c r="L30" s="98"/>
      <c r="M30" s="98"/>
      <c r="N30" s="98"/>
      <c r="O30" s="98"/>
    </row>
    <row r="31" spans="1:21">
      <c r="A31" s="132">
        <v>6500000000</v>
      </c>
      <c r="B31" s="103" t="s">
        <v>274</v>
      </c>
      <c r="C31" s="102"/>
      <c r="D31" s="106"/>
      <c r="E31" s="133"/>
      <c r="F31" s="98"/>
      <c r="G31" s="98"/>
      <c r="H31" s="98"/>
      <c r="I31" s="98"/>
      <c r="J31" s="98"/>
      <c r="K31" s="98"/>
      <c r="L31" s="98"/>
      <c r="M31" s="98"/>
      <c r="N31" s="98"/>
      <c r="O31" s="98"/>
      <c r="P31" s="98"/>
      <c r="Q31" s="98"/>
      <c r="R31" s="98"/>
      <c r="S31" s="98"/>
      <c r="T31" s="98"/>
      <c r="U31" s="98"/>
    </row>
    <row r="32" spans="1:21">
      <c r="A32" s="132">
        <v>110000</v>
      </c>
      <c r="B32" s="103" t="s">
        <v>275</v>
      </c>
      <c r="C32" s="102"/>
      <c r="D32" s="106"/>
      <c r="E32" s="133"/>
      <c r="F32" s="98"/>
      <c r="G32" s="98"/>
      <c r="H32" s="98"/>
      <c r="I32" s="98"/>
      <c r="J32" s="98"/>
      <c r="K32" s="98"/>
      <c r="L32" s="98"/>
      <c r="M32" s="98"/>
      <c r="N32" s="98"/>
      <c r="O32" s="98"/>
      <c r="P32" s="98"/>
      <c r="Q32" s="98"/>
      <c r="R32" s="98"/>
      <c r="S32" s="98"/>
      <c r="T32" s="98"/>
      <c r="U32" s="98"/>
    </row>
    <row r="33" spans="1:21" ht="14.1" customHeight="1">
      <c r="A33" s="132">
        <v>45000000</v>
      </c>
      <c r="B33" s="103" t="s">
        <v>277</v>
      </c>
      <c r="C33" s="102"/>
      <c r="D33" s="105"/>
      <c r="E33" s="133"/>
      <c r="F33" s="98"/>
      <c r="G33" s="98"/>
      <c r="H33" s="98"/>
      <c r="I33" s="98"/>
      <c r="J33" s="98"/>
      <c r="K33" s="98"/>
      <c r="L33" s="98"/>
      <c r="M33" s="98"/>
      <c r="N33" s="98"/>
      <c r="O33" s="98"/>
      <c r="P33" s="98"/>
      <c r="Q33" s="98"/>
      <c r="R33" s="98"/>
      <c r="S33" s="98"/>
      <c r="T33" s="98"/>
      <c r="U33" s="98"/>
    </row>
    <row r="34" spans="1:21" ht="14.1" customHeight="1">
      <c r="A34" s="132">
        <v>10000</v>
      </c>
      <c r="B34" s="103" t="s">
        <v>276</v>
      </c>
      <c r="C34" s="102"/>
      <c r="D34" s="105"/>
      <c r="E34" s="133"/>
      <c r="F34" s="98"/>
      <c r="G34" s="98"/>
      <c r="H34" s="98"/>
      <c r="I34" s="98"/>
      <c r="J34" s="98"/>
      <c r="K34" s="98"/>
      <c r="L34" s="98"/>
      <c r="M34" s="98"/>
      <c r="N34" s="98"/>
      <c r="O34" s="98"/>
      <c r="P34" s="98"/>
      <c r="Q34" s="98"/>
      <c r="R34" s="98"/>
      <c r="S34" s="98"/>
      <c r="T34" s="98"/>
      <c r="U34" s="98"/>
    </row>
    <row r="35" spans="1:21" ht="14.1" customHeight="1">
      <c r="A35" s="132">
        <v>900000000</v>
      </c>
      <c r="B35" s="103" t="s">
        <v>279</v>
      </c>
      <c r="C35" s="102"/>
      <c r="D35" s="105"/>
      <c r="E35" s="133"/>
      <c r="F35" s="98"/>
      <c r="G35" s="98"/>
      <c r="H35" s="98"/>
      <c r="I35" s="98"/>
      <c r="J35" s="98"/>
      <c r="K35" s="98"/>
      <c r="L35" s="98"/>
      <c r="M35" s="98"/>
      <c r="N35" s="98"/>
      <c r="O35" s="98"/>
      <c r="P35" s="98"/>
      <c r="Q35" s="98"/>
      <c r="R35" s="98"/>
      <c r="S35" s="98"/>
      <c r="T35" s="98"/>
      <c r="U35" s="98"/>
    </row>
    <row r="36" spans="1:21" ht="14.1" customHeight="1">
      <c r="A36" s="132">
        <v>4070000000</v>
      </c>
      <c r="B36" s="103" t="s">
        <v>278</v>
      </c>
      <c r="C36" s="102"/>
      <c r="D36" s="105"/>
      <c r="E36" s="133"/>
      <c r="F36" s="98"/>
      <c r="G36" s="98"/>
      <c r="H36" s="98"/>
      <c r="I36" s="98"/>
      <c r="J36" s="98"/>
      <c r="K36" s="98"/>
      <c r="L36" s="98"/>
      <c r="M36" s="98"/>
      <c r="N36" s="98"/>
      <c r="O36" s="98"/>
      <c r="P36" s="98"/>
      <c r="Q36" s="98"/>
      <c r="R36" s="98"/>
      <c r="S36" s="98"/>
      <c r="T36" s="98"/>
      <c r="U36" s="98"/>
    </row>
    <row r="37" spans="1:21" ht="14.1" customHeight="1">
      <c r="A37" s="132" t="s">
        <v>312</v>
      </c>
      <c r="B37" s="103"/>
      <c r="C37" s="102"/>
      <c r="D37" s="105"/>
      <c r="E37" s="133"/>
      <c r="F37" s="98"/>
      <c r="G37" s="98"/>
      <c r="H37" s="98"/>
      <c r="I37" s="98"/>
      <c r="J37" s="98"/>
      <c r="K37" s="98"/>
      <c r="L37" s="98"/>
      <c r="M37" s="98"/>
      <c r="N37" s="98"/>
      <c r="O37" s="98"/>
      <c r="P37" s="98"/>
      <c r="Q37" s="98"/>
      <c r="R37" s="98"/>
      <c r="S37" s="98"/>
      <c r="T37" s="98"/>
      <c r="U37" s="98"/>
    </row>
    <row r="38" spans="1:21">
      <c r="A38" s="134">
        <v>11000</v>
      </c>
      <c r="B38" s="104" t="s">
        <v>249</v>
      </c>
      <c r="C38" s="102"/>
      <c r="D38" s="106"/>
      <c r="E38" s="135"/>
      <c r="F38" s="98"/>
      <c r="G38" s="98"/>
      <c r="H38" s="98"/>
      <c r="I38" s="98"/>
      <c r="J38" s="98"/>
      <c r="K38" s="98"/>
      <c r="L38" s="98"/>
      <c r="M38" s="98"/>
      <c r="N38" s="98"/>
      <c r="O38" s="98"/>
      <c r="P38" s="98"/>
      <c r="Q38" s="98"/>
      <c r="R38" s="98"/>
      <c r="S38" s="98"/>
      <c r="T38" s="98"/>
      <c r="U38" s="98"/>
    </row>
    <row r="39" spans="1:21">
      <c r="A39" s="134">
        <v>7500000</v>
      </c>
      <c r="B39" s="104" t="s">
        <v>253</v>
      </c>
      <c r="C39" s="102"/>
      <c r="D39" s="106"/>
      <c r="E39" s="135"/>
      <c r="F39" s="98"/>
      <c r="G39" s="98"/>
      <c r="H39" s="98"/>
      <c r="I39" s="98"/>
      <c r="J39" s="98"/>
      <c r="K39" s="98"/>
      <c r="L39" s="98"/>
      <c r="M39" s="98"/>
      <c r="N39" s="98"/>
      <c r="O39" s="98"/>
      <c r="P39" s="98"/>
      <c r="Q39" s="98"/>
      <c r="R39" s="98"/>
      <c r="S39" s="98"/>
      <c r="T39" s="98"/>
      <c r="U39" s="98"/>
    </row>
    <row r="40" spans="1:21" ht="12" customHeight="1">
      <c r="A40" s="134">
        <v>7500000</v>
      </c>
      <c r="B40" s="104" t="s">
        <v>262</v>
      </c>
      <c r="C40" s="102"/>
      <c r="D40" s="106"/>
      <c r="E40" s="135"/>
      <c r="F40" s="98"/>
      <c r="G40" s="98"/>
      <c r="H40" s="98"/>
      <c r="I40" s="98"/>
      <c r="J40" s="98"/>
      <c r="K40" s="98"/>
      <c r="L40" s="98"/>
      <c r="M40" s="98"/>
      <c r="N40" s="98"/>
      <c r="O40" s="98"/>
      <c r="P40" s="98"/>
      <c r="Q40" s="98"/>
      <c r="R40" s="98"/>
      <c r="S40" s="98"/>
      <c r="T40" s="98"/>
      <c r="U40" s="98"/>
    </row>
    <row r="41" spans="1:21">
      <c r="A41" s="134">
        <v>44000000</v>
      </c>
      <c r="B41" s="104" t="s">
        <v>256</v>
      </c>
      <c r="C41" s="102"/>
      <c r="D41" s="106"/>
      <c r="E41" s="135"/>
      <c r="F41" s="98"/>
      <c r="G41" s="98"/>
      <c r="H41" s="98"/>
      <c r="I41" s="98"/>
      <c r="J41" s="98"/>
      <c r="K41" s="98"/>
      <c r="L41" s="98"/>
      <c r="M41" s="98"/>
      <c r="N41" s="98"/>
      <c r="O41" s="98"/>
      <c r="P41" s="98"/>
      <c r="Q41" s="98"/>
      <c r="R41" s="98"/>
      <c r="S41" s="98"/>
      <c r="T41" s="98"/>
      <c r="U41" s="98"/>
    </row>
    <row r="42" spans="1:21">
      <c r="A42" s="134">
        <v>7500000</v>
      </c>
      <c r="B42" s="104" t="s">
        <v>250</v>
      </c>
      <c r="C42" s="102"/>
      <c r="D42" s="106"/>
      <c r="E42" s="135"/>
      <c r="F42" s="98"/>
      <c r="G42" s="98"/>
      <c r="H42" s="98"/>
      <c r="I42" s="98"/>
      <c r="J42" s="98"/>
      <c r="K42" s="98"/>
      <c r="L42" s="98"/>
      <c r="M42" s="98"/>
      <c r="N42" s="98"/>
      <c r="O42" s="98"/>
      <c r="P42" s="98"/>
      <c r="Q42" s="98"/>
      <c r="R42" s="98"/>
      <c r="S42" s="98"/>
      <c r="T42" s="98"/>
      <c r="U42" s="98"/>
    </row>
    <row r="43" spans="1:21">
      <c r="A43" s="134">
        <v>170000</v>
      </c>
      <c r="B43" s="104" t="s">
        <v>251</v>
      </c>
      <c r="C43" s="102"/>
      <c r="D43" s="106"/>
      <c r="E43" s="135"/>
      <c r="F43" s="98"/>
      <c r="G43" s="98"/>
      <c r="H43" s="98"/>
      <c r="I43" s="98"/>
      <c r="J43" s="98"/>
      <c r="K43" s="98"/>
      <c r="L43" s="98"/>
      <c r="M43" s="98"/>
      <c r="N43" s="98"/>
      <c r="O43" s="98"/>
      <c r="P43" s="98"/>
      <c r="Q43" s="98"/>
      <c r="R43" s="98"/>
      <c r="S43" s="98"/>
      <c r="T43" s="98"/>
      <c r="U43" s="98"/>
    </row>
    <row r="44" spans="1:21">
      <c r="A44" s="134">
        <v>200000000</v>
      </c>
      <c r="B44" s="104" t="s">
        <v>252</v>
      </c>
      <c r="C44" s="102"/>
      <c r="D44" s="106"/>
      <c r="E44" s="135"/>
      <c r="F44" s="98"/>
      <c r="G44" s="98"/>
      <c r="H44" s="98"/>
      <c r="I44" s="98"/>
      <c r="J44" s="98"/>
      <c r="K44" s="98"/>
      <c r="L44" s="98"/>
      <c r="M44" s="98"/>
      <c r="N44" s="98"/>
      <c r="O44" s="98"/>
      <c r="P44" s="98"/>
      <c r="Q44" s="98"/>
      <c r="R44" s="98"/>
      <c r="S44" s="98"/>
      <c r="T44" s="98"/>
      <c r="U44" s="98"/>
    </row>
    <row r="45" spans="1:21">
      <c r="A45" s="134" t="s">
        <v>313</v>
      </c>
      <c r="B45" s="104"/>
      <c r="C45" s="102"/>
      <c r="D45" s="106"/>
      <c r="E45" s="135"/>
      <c r="F45" s="98"/>
      <c r="G45" s="98"/>
      <c r="H45" s="98"/>
      <c r="I45" s="98"/>
      <c r="J45" s="98"/>
      <c r="K45" s="98"/>
      <c r="L45" s="98"/>
      <c r="M45" s="98"/>
      <c r="N45" s="98"/>
      <c r="O45" s="98"/>
      <c r="P45" s="98"/>
      <c r="Q45" s="98"/>
      <c r="R45" s="98"/>
      <c r="S45" s="98"/>
      <c r="T45" s="98"/>
      <c r="U45" s="98"/>
    </row>
    <row r="46" spans="1:21">
      <c r="A46" s="132">
        <v>2500000000</v>
      </c>
      <c r="B46" s="103" t="s">
        <v>202</v>
      </c>
      <c r="C46" s="102"/>
      <c r="D46" s="106"/>
      <c r="E46" s="133"/>
      <c r="I46" s="98"/>
      <c r="J46" s="98"/>
      <c r="K46" s="98"/>
      <c r="L46" s="98"/>
      <c r="M46" s="98"/>
      <c r="N46" s="98"/>
      <c r="O46" s="98"/>
    </row>
    <row r="47" spans="1:21">
      <c r="A47" s="132">
        <f>A102/55.6</f>
        <v>179.85611510791367</v>
      </c>
      <c r="B47" s="103" t="s">
        <v>148</v>
      </c>
      <c r="C47" s="102"/>
      <c r="D47" s="106"/>
      <c r="E47" s="133"/>
      <c r="I47" s="98"/>
      <c r="J47" s="98"/>
      <c r="K47" s="98"/>
      <c r="L47" s="98"/>
      <c r="M47" s="98"/>
      <c r="N47" s="98"/>
      <c r="O47" s="98"/>
    </row>
    <row r="48" spans="1:21">
      <c r="A48" s="132">
        <f>A103/55.6</f>
        <v>93.189696947105531</v>
      </c>
      <c r="B48" s="103" t="s">
        <v>150</v>
      </c>
      <c r="C48" s="102"/>
      <c r="D48" s="106"/>
      <c r="E48" s="133"/>
      <c r="I48" s="98"/>
      <c r="J48" s="98"/>
      <c r="K48" s="98"/>
      <c r="L48" s="98"/>
      <c r="M48" s="98"/>
      <c r="N48" s="98"/>
      <c r="O48" s="98"/>
    </row>
    <row r="49" spans="1:21">
      <c r="A49" s="132">
        <v>940000000</v>
      </c>
      <c r="B49" s="103" t="s">
        <v>212</v>
      </c>
      <c r="C49" s="102"/>
      <c r="D49" s="106"/>
      <c r="E49" s="133"/>
      <c r="I49" s="98"/>
      <c r="J49" s="98"/>
      <c r="K49" s="98"/>
      <c r="L49" s="98"/>
      <c r="M49" s="98"/>
      <c r="N49" s="98"/>
      <c r="O49" s="98"/>
    </row>
    <row r="50" spans="1:21">
      <c r="A50" s="132">
        <v>7400000000</v>
      </c>
      <c r="B50" s="103" t="s">
        <v>195</v>
      </c>
      <c r="C50" s="102"/>
      <c r="D50" s="106"/>
      <c r="E50" s="133"/>
      <c r="I50" s="98"/>
      <c r="J50" s="98"/>
      <c r="K50" s="98"/>
      <c r="L50" s="98"/>
      <c r="M50" s="98"/>
      <c r="N50" s="98"/>
      <c r="O50" s="98"/>
    </row>
    <row r="51" spans="1:21">
      <c r="A51" s="132">
        <f>10000/55.6</f>
        <v>179.85611510791367</v>
      </c>
      <c r="B51" s="103" t="s">
        <v>266</v>
      </c>
      <c r="C51" s="102"/>
      <c r="D51" s="106"/>
      <c r="E51" s="133"/>
      <c r="F51" s="98"/>
      <c r="G51" s="98"/>
      <c r="H51" s="98"/>
      <c r="I51" s="98"/>
      <c r="J51" s="98"/>
      <c r="K51" s="98"/>
      <c r="L51" s="98"/>
      <c r="M51" s="98"/>
      <c r="N51" s="98"/>
      <c r="O51" s="98"/>
      <c r="P51" s="98"/>
      <c r="Q51" s="98"/>
      <c r="R51" s="98"/>
      <c r="S51" s="98"/>
      <c r="T51" s="98"/>
      <c r="U51" s="98"/>
    </row>
    <row r="52" spans="1:21">
      <c r="A52" s="132" t="s">
        <v>314</v>
      </c>
      <c r="B52" s="103"/>
      <c r="C52" s="102"/>
      <c r="D52" s="106"/>
      <c r="E52" s="133"/>
      <c r="F52" s="98"/>
      <c r="G52" s="98"/>
      <c r="H52" s="98"/>
      <c r="I52" s="98"/>
      <c r="J52" s="98"/>
      <c r="K52" s="98"/>
      <c r="L52" s="98"/>
      <c r="M52" s="98"/>
      <c r="N52" s="98"/>
      <c r="O52" s="98"/>
      <c r="P52" s="98"/>
      <c r="Q52" s="98"/>
      <c r="R52" s="98"/>
      <c r="S52" s="98"/>
      <c r="T52" s="98"/>
      <c r="U52" s="98"/>
    </row>
    <row r="53" spans="1:21">
      <c r="A53" s="132">
        <v>3800000000</v>
      </c>
      <c r="B53" s="103" t="s">
        <v>281</v>
      </c>
      <c r="C53" s="102"/>
      <c r="D53" s="106"/>
      <c r="E53" s="133"/>
      <c r="F53" s="98"/>
      <c r="G53" s="98"/>
      <c r="H53" s="98"/>
      <c r="I53" s="98"/>
      <c r="J53" s="98"/>
      <c r="K53" s="98"/>
      <c r="L53" s="98"/>
      <c r="M53" s="98"/>
      <c r="N53" s="98"/>
      <c r="O53" s="98"/>
      <c r="P53" s="98"/>
      <c r="Q53" s="98"/>
      <c r="R53" s="98"/>
      <c r="S53" s="98"/>
      <c r="T53" s="98"/>
      <c r="U53" s="98"/>
    </row>
    <row r="54" spans="1:21">
      <c r="A54" s="132">
        <v>5900000000</v>
      </c>
      <c r="B54" s="103" t="s">
        <v>282</v>
      </c>
      <c r="C54" s="102"/>
      <c r="D54" s="106"/>
      <c r="E54" s="133"/>
      <c r="F54" s="98"/>
      <c r="G54" s="98"/>
      <c r="H54" s="98"/>
      <c r="I54" s="98"/>
      <c r="J54" s="98"/>
      <c r="K54" s="98"/>
      <c r="L54" s="98"/>
      <c r="M54" s="98"/>
      <c r="N54" s="98"/>
      <c r="O54" s="98"/>
      <c r="P54" s="98"/>
      <c r="Q54" s="98"/>
      <c r="R54" s="98"/>
      <c r="S54" s="98"/>
      <c r="T54" s="98"/>
      <c r="U54" s="98"/>
    </row>
    <row r="55" spans="1:21">
      <c r="A55" s="132">
        <v>18000000000</v>
      </c>
      <c r="B55" s="103" t="s">
        <v>271</v>
      </c>
      <c r="C55" s="102"/>
      <c r="D55" s="106"/>
      <c r="E55" s="133"/>
      <c r="F55" s="98"/>
      <c r="G55" s="98"/>
      <c r="H55" s="98"/>
      <c r="I55" s="98"/>
      <c r="J55" s="98"/>
      <c r="K55" s="98"/>
      <c r="L55" s="98"/>
      <c r="M55" s="98"/>
      <c r="N55" s="98"/>
      <c r="O55" s="98"/>
      <c r="P55" s="98"/>
      <c r="Q55" s="98"/>
      <c r="R55" s="98"/>
      <c r="S55" s="98"/>
      <c r="T55" s="98"/>
      <c r="U55" s="98"/>
    </row>
    <row r="56" spans="1:21">
      <c r="A56" s="132">
        <v>500000</v>
      </c>
      <c r="B56" s="103" t="s">
        <v>273</v>
      </c>
      <c r="C56" s="102"/>
      <c r="D56" s="106"/>
      <c r="E56" s="133"/>
      <c r="F56" s="98"/>
      <c r="G56" s="98"/>
      <c r="H56" s="98"/>
      <c r="I56" s="98"/>
      <c r="J56" s="98"/>
      <c r="K56" s="98"/>
      <c r="L56" s="98"/>
      <c r="M56" s="98"/>
      <c r="N56" s="98"/>
      <c r="O56" s="98"/>
      <c r="P56" s="98"/>
      <c r="Q56" s="98"/>
      <c r="R56" s="98"/>
      <c r="S56" s="98"/>
      <c r="T56" s="98"/>
      <c r="U56" s="98"/>
    </row>
    <row r="57" spans="1:21">
      <c r="A57" s="132">
        <v>2000000</v>
      </c>
      <c r="B57" s="103" t="s">
        <v>283</v>
      </c>
      <c r="C57" s="102"/>
      <c r="D57" s="106"/>
      <c r="E57" s="133"/>
      <c r="F57" s="98"/>
      <c r="G57" s="98"/>
      <c r="H57" s="98"/>
      <c r="I57" s="98"/>
      <c r="J57" s="98"/>
      <c r="K57" s="98"/>
      <c r="L57" s="98"/>
      <c r="M57" s="98"/>
      <c r="N57" s="98"/>
      <c r="O57" s="98"/>
      <c r="P57" s="98"/>
      <c r="Q57" s="98"/>
      <c r="R57" s="98"/>
      <c r="S57" s="98"/>
      <c r="T57" s="98"/>
      <c r="U57" s="98"/>
    </row>
    <row r="58" spans="1:21">
      <c r="A58" s="132" t="s">
        <v>315</v>
      </c>
      <c r="B58" s="103"/>
      <c r="C58" s="102"/>
      <c r="D58" s="106"/>
      <c r="E58" s="133"/>
      <c r="F58" s="98"/>
      <c r="G58" s="98"/>
      <c r="H58" s="98"/>
      <c r="I58" s="98"/>
      <c r="J58" s="98"/>
      <c r="K58" s="98"/>
      <c r="L58" s="98"/>
      <c r="M58" s="98"/>
      <c r="N58" s="98"/>
      <c r="O58" s="98"/>
      <c r="P58" s="98"/>
      <c r="Q58" s="98"/>
      <c r="R58" s="98"/>
      <c r="S58" s="98"/>
      <c r="T58" s="98"/>
      <c r="U58" s="98"/>
    </row>
    <row r="59" spans="1:21">
      <c r="A59" s="134">
        <v>600000000</v>
      </c>
      <c r="B59" s="104" t="s">
        <v>237</v>
      </c>
      <c r="C59" s="102"/>
      <c r="D59" s="106"/>
      <c r="E59" s="135"/>
      <c r="F59" s="98"/>
      <c r="G59" s="98"/>
      <c r="H59" s="98"/>
      <c r="I59" s="98"/>
      <c r="J59" s="98"/>
      <c r="K59" s="98"/>
      <c r="L59" s="98"/>
      <c r="M59" s="98"/>
      <c r="N59" s="98"/>
      <c r="O59" s="98"/>
      <c r="P59" s="98"/>
      <c r="Q59" s="98"/>
      <c r="R59" s="98"/>
      <c r="S59" s="98"/>
      <c r="T59" s="98"/>
      <c r="U59" s="98"/>
    </row>
    <row r="60" spans="1:21">
      <c r="A60" s="134">
        <v>500000000</v>
      </c>
      <c r="B60" s="104" t="s">
        <v>238</v>
      </c>
      <c r="C60" s="102"/>
      <c r="D60" s="106"/>
      <c r="E60" s="135"/>
      <c r="F60" s="98"/>
      <c r="G60" s="98"/>
      <c r="H60" s="98"/>
      <c r="I60" s="98"/>
      <c r="J60" s="98"/>
      <c r="K60" s="98"/>
      <c r="L60" s="98"/>
      <c r="M60" s="98"/>
      <c r="N60" s="98"/>
      <c r="O60" s="98"/>
      <c r="P60" s="98"/>
      <c r="Q60" s="98"/>
      <c r="R60" s="98"/>
      <c r="S60" s="98"/>
      <c r="T60" s="98"/>
      <c r="U60" s="98"/>
    </row>
    <row r="61" spans="1:21">
      <c r="A61" s="134">
        <v>1500000000</v>
      </c>
      <c r="B61" s="104" t="s">
        <v>234</v>
      </c>
      <c r="C61" s="102"/>
      <c r="D61" s="106"/>
      <c r="E61" s="135"/>
      <c r="F61" s="98"/>
      <c r="G61" s="98"/>
      <c r="H61" s="98"/>
      <c r="I61" s="98"/>
      <c r="J61" s="98"/>
      <c r="K61" s="98"/>
      <c r="L61" s="98"/>
      <c r="M61" s="98"/>
      <c r="N61" s="98"/>
      <c r="O61" s="98"/>
      <c r="P61" s="98"/>
      <c r="Q61" s="98"/>
      <c r="R61" s="98"/>
      <c r="S61" s="98"/>
      <c r="T61" s="98"/>
      <c r="U61" s="98"/>
    </row>
    <row r="62" spans="1:21">
      <c r="A62" s="134">
        <v>700000000</v>
      </c>
      <c r="B62" s="104" t="s">
        <v>254</v>
      </c>
      <c r="C62" s="102"/>
      <c r="D62" s="106"/>
      <c r="E62" s="135"/>
      <c r="F62" s="98"/>
      <c r="G62" s="98"/>
      <c r="H62" s="98"/>
      <c r="I62" s="98"/>
      <c r="J62" s="98"/>
      <c r="K62" s="98"/>
      <c r="L62" s="98"/>
      <c r="M62" s="98"/>
      <c r="N62" s="98"/>
      <c r="O62" s="98"/>
      <c r="P62" s="98"/>
      <c r="Q62" s="98"/>
      <c r="R62" s="98"/>
      <c r="S62" s="98"/>
      <c r="T62" s="98"/>
      <c r="U62" s="98"/>
    </row>
    <row r="63" spans="1:21">
      <c r="A63" s="134">
        <v>1400000000</v>
      </c>
      <c r="B63" s="104" t="s">
        <v>267</v>
      </c>
      <c r="C63" s="102"/>
      <c r="D63" s="106"/>
      <c r="E63" s="135"/>
      <c r="F63" s="98"/>
      <c r="G63" s="98"/>
      <c r="H63" s="98"/>
      <c r="I63" s="98"/>
      <c r="J63" s="98"/>
      <c r="K63" s="98"/>
      <c r="L63" s="98"/>
      <c r="M63" s="98"/>
      <c r="N63" s="98"/>
      <c r="O63" s="98"/>
      <c r="P63" s="98"/>
      <c r="Q63" s="98"/>
      <c r="R63" s="98"/>
      <c r="S63" s="98"/>
      <c r="T63" s="98"/>
      <c r="U63" s="98"/>
    </row>
    <row r="64" spans="1:21">
      <c r="A64" s="134">
        <f>0.2*(400000000)</f>
        <v>80000000</v>
      </c>
      <c r="B64" s="104" t="s">
        <v>269</v>
      </c>
      <c r="C64" s="102"/>
      <c r="D64" s="106"/>
      <c r="E64" s="135"/>
      <c r="F64" s="98"/>
      <c r="G64" s="98"/>
      <c r="H64" s="98"/>
      <c r="I64" s="98"/>
      <c r="J64" s="98"/>
      <c r="K64" s="98"/>
      <c r="L64" s="98"/>
      <c r="M64" s="98"/>
      <c r="N64" s="98"/>
      <c r="O64" s="98"/>
      <c r="P64" s="98"/>
      <c r="Q64" s="98"/>
      <c r="R64" s="98"/>
      <c r="S64" s="98"/>
      <c r="T64" s="98"/>
      <c r="U64" s="98"/>
    </row>
    <row r="65" spans="1:21">
      <c r="A65" s="134">
        <f>0.3*(400000000)</f>
        <v>120000000</v>
      </c>
      <c r="B65" s="104" t="s">
        <v>268</v>
      </c>
      <c r="C65" s="102"/>
      <c r="D65" s="106"/>
      <c r="E65" s="135"/>
      <c r="F65" s="98"/>
      <c r="G65" s="98"/>
      <c r="H65" s="98"/>
      <c r="I65" s="98"/>
      <c r="J65" s="98"/>
      <c r="K65" s="98"/>
      <c r="L65" s="98"/>
      <c r="M65" s="98"/>
      <c r="N65" s="98"/>
      <c r="O65" s="98"/>
      <c r="P65" s="98"/>
      <c r="Q65" s="98"/>
      <c r="R65" s="98"/>
      <c r="S65" s="98"/>
      <c r="T65" s="98"/>
      <c r="U65" s="98"/>
    </row>
    <row r="66" spans="1:21">
      <c r="A66" s="134">
        <f>0.25*(400000000)</f>
        <v>100000000</v>
      </c>
      <c r="B66" s="104" t="s">
        <v>240</v>
      </c>
      <c r="C66" s="102"/>
      <c r="D66" s="106"/>
      <c r="E66" s="135"/>
      <c r="F66" s="98"/>
      <c r="G66" s="98"/>
      <c r="H66" s="98"/>
      <c r="I66" s="98"/>
      <c r="J66" s="98"/>
      <c r="K66" s="98"/>
      <c r="L66" s="98"/>
      <c r="M66" s="98"/>
      <c r="N66" s="98"/>
      <c r="O66" s="98"/>
      <c r="P66" s="98"/>
      <c r="Q66" s="98"/>
      <c r="R66" s="98"/>
      <c r="S66" s="98"/>
      <c r="T66" s="98"/>
      <c r="U66" s="98"/>
    </row>
    <row r="67" spans="1:21">
      <c r="A67" s="134">
        <f>0.25*(400000000)</f>
        <v>100000000</v>
      </c>
      <c r="B67" s="104" t="s">
        <v>239</v>
      </c>
      <c r="C67" s="102"/>
      <c r="D67" s="106"/>
      <c r="E67" s="135"/>
      <c r="F67" s="98"/>
      <c r="G67" s="98"/>
      <c r="H67" s="98"/>
      <c r="I67" s="98"/>
      <c r="J67" s="98"/>
      <c r="K67" s="98"/>
      <c r="L67" s="98"/>
      <c r="M67" s="98"/>
      <c r="N67" s="98"/>
      <c r="O67" s="98"/>
      <c r="P67" s="98"/>
      <c r="Q67" s="98"/>
      <c r="R67" s="98"/>
      <c r="S67" s="98"/>
      <c r="T67" s="98"/>
      <c r="U67" s="98"/>
    </row>
    <row r="68" spans="1:21">
      <c r="A68" s="134">
        <v>2000000000</v>
      </c>
      <c r="B68" s="104" t="s">
        <v>241</v>
      </c>
      <c r="C68" s="102"/>
      <c r="D68" s="106"/>
      <c r="E68" s="135"/>
      <c r="F68" s="98"/>
      <c r="G68" s="98"/>
      <c r="H68" s="98"/>
      <c r="I68" s="98"/>
      <c r="J68" s="98"/>
      <c r="K68" s="98"/>
      <c r="L68" s="98"/>
      <c r="M68" s="98"/>
      <c r="N68" s="98"/>
      <c r="O68" s="98"/>
      <c r="P68" s="98"/>
      <c r="Q68" s="98"/>
      <c r="R68" s="98"/>
      <c r="S68" s="98"/>
      <c r="T68" s="98"/>
      <c r="U68" s="98"/>
    </row>
    <row r="69" spans="1:21">
      <c r="A69" s="134">
        <v>600</v>
      </c>
      <c r="B69" s="104" t="s">
        <v>242</v>
      </c>
      <c r="C69" s="102"/>
      <c r="D69" s="106"/>
      <c r="E69" s="135"/>
      <c r="F69" s="98"/>
      <c r="G69" s="98"/>
      <c r="H69" s="98"/>
      <c r="I69" s="98"/>
      <c r="J69" s="98"/>
      <c r="K69" s="98"/>
      <c r="L69" s="98"/>
      <c r="M69" s="98"/>
      <c r="N69" s="98"/>
      <c r="O69" s="98"/>
      <c r="P69" s="98"/>
      <c r="Q69" s="98"/>
      <c r="R69" s="98"/>
      <c r="S69" s="98"/>
      <c r="T69" s="98"/>
      <c r="U69" s="98"/>
    </row>
    <row r="70" spans="1:21">
      <c r="A70" s="134" t="s">
        <v>316</v>
      </c>
      <c r="B70" s="104"/>
      <c r="C70" s="102"/>
      <c r="D70" s="106"/>
      <c r="E70" s="135"/>
      <c r="F70" s="98"/>
      <c r="G70" s="98"/>
      <c r="H70" s="98"/>
      <c r="I70" s="98"/>
      <c r="J70" s="98"/>
      <c r="K70" s="98"/>
      <c r="L70" s="98"/>
      <c r="M70" s="98"/>
      <c r="N70" s="98"/>
      <c r="O70" s="98"/>
      <c r="P70" s="98"/>
      <c r="Q70" s="98"/>
      <c r="R70" s="98"/>
      <c r="S70" s="98"/>
      <c r="T70" s="98"/>
      <c r="U70" s="98"/>
    </row>
    <row r="71" spans="1:21">
      <c r="A71" s="132">
        <f>A86</f>
        <v>50000000000</v>
      </c>
      <c r="B71" s="103" t="s">
        <v>146</v>
      </c>
      <c r="C71" s="102"/>
      <c r="D71" s="106"/>
      <c r="E71" s="133"/>
      <c r="F71" s="98"/>
      <c r="G71" s="98"/>
      <c r="H71" s="98"/>
      <c r="I71" s="98"/>
      <c r="J71" s="98"/>
      <c r="K71" s="98"/>
      <c r="L71" s="98"/>
      <c r="M71" s="98"/>
      <c r="N71" s="98"/>
      <c r="O71" s="98"/>
      <c r="P71" s="98"/>
      <c r="Q71" s="98"/>
      <c r="R71" s="98"/>
      <c r="S71" s="98"/>
      <c r="T71" s="98"/>
      <c r="U71" s="98"/>
    </row>
    <row r="72" spans="1:21">
      <c r="A72" s="132">
        <f>A87</f>
        <v>1581.138830084185</v>
      </c>
      <c r="B72" s="103" t="s">
        <v>110</v>
      </c>
      <c r="C72" s="102"/>
      <c r="D72" s="106"/>
      <c r="E72" s="133"/>
      <c r="F72" s="98"/>
      <c r="G72" s="98"/>
      <c r="H72" s="98"/>
      <c r="I72" s="98"/>
      <c r="J72" s="98"/>
      <c r="K72" s="98"/>
      <c r="L72" s="98"/>
      <c r="M72" s="98"/>
      <c r="N72" s="98"/>
      <c r="O72" s="98"/>
      <c r="P72" s="98"/>
      <c r="Q72" s="98"/>
      <c r="R72" s="98"/>
      <c r="S72" s="98"/>
      <c r="T72" s="98"/>
      <c r="U72" s="98"/>
    </row>
    <row r="73" spans="1:21">
      <c r="A73" s="132">
        <f>A89</f>
        <v>50000000000</v>
      </c>
      <c r="B73" s="103" t="s">
        <v>111</v>
      </c>
      <c r="C73" s="102"/>
      <c r="D73" s="106"/>
      <c r="E73" s="133"/>
      <c r="F73" s="98"/>
      <c r="G73" s="98"/>
      <c r="H73" s="98"/>
      <c r="I73" s="98"/>
      <c r="J73" s="98"/>
      <c r="K73" s="98"/>
      <c r="L73" s="98"/>
      <c r="M73" s="98"/>
      <c r="N73" s="98"/>
      <c r="O73" s="98"/>
      <c r="P73" s="98"/>
      <c r="Q73" s="98"/>
      <c r="R73" s="98"/>
      <c r="S73" s="98"/>
      <c r="T73" s="98"/>
      <c r="U73" s="98"/>
    </row>
    <row r="74" spans="1:21">
      <c r="A74" s="132">
        <f>A90</f>
        <v>6.2946270589708142E-2</v>
      </c>
      <c r="B74" s="103" t="s">
        <v>224</v>
      </c>
      <c r="C74" s="102"/>
      <c r="D74" s="106"/>
      <c r="E74" s="133"/>
      <c r="F74" s="98"/>
      <c r="G74" s="98"/>
      <c r="H74" s="98"/>
      <c r="I74" s="98"/>
      <c r="J74" s="98"/>
      <c r="K74" s="98"/>
      <c r="L74" s="98"/>
      <c r="M74" s="98"/>
      <c r="N74" s="98"/>
      <c r="O74" s="98"/>
      <c r="P74" s="98"/>
      <c r="Q74" s="98"/>
      <c r="R74" s="98"/>
      <c r="S74" s="98"/>
      <c r="T74" s="98"/>
      <c r="U74" s="98"/>
    </row>
    <row r="75" spans="1:21">
      <c r="A75" s="132">
        <v>12000000000</v>
      </c>
      <c r="B75" s="103" t="s">
        <v>154</v>
      </c>
      <c r="C75" s="102"/>
      <c r="D75" s="106"/>
      <c r="E75" s="133"/>
      <c r="I75" s="98"/>
      <c r="J75" s="98"/>
      <c r="K75" s="98"/>
      <c r="L75" s="98"/>
      <c r="M75" s="98"/>
      <c r="N75" s="98"/>
      <c r="O75" s="98"/>
    </row>
    <row r="76" spans="1:21">
      <c r="A76" s="132">
        <v>93000000</v>
      </c>
      <c r="B76" s="103" t="s">
        <v>199</v>
      </c>
      <c r="C76" s="102"/>
      <c r="D76" s="106"/>
      <c r="E76" s="133"/>
      <c r="I76" s="98"/>
      <c r="J76" s="98"/>
      <c r="K76" s="98"/>
      <c r="L76" s="98"/>
      <c r="M76" s="98"/>
      <c r="N76" s="98"/>
      <c r="O76" s="98"/>
    </row>
    <row r="77" spans="1:21">
      <c r="A77" s="132">
        <v>100000000000</v>
      </c>
      <c r="B77" s="103" t="s">
        <v>145</v>
      </c>
      <c r="C77" s="102"/>
      <c r="D77" s="106"/>
      <c r="E77" s="133"/>
      <c r="F77" s="98"/>
      <c r="G77" s="98"/>
      <c r="H77" s="98"/>
      <c r="I77" s="98"/>
      <c r="J77" s="98"/>
      <c r="K77" s="98"/>
      <c r="L77" s="98"/>
      <c r="M77" s="98"/>
      <c r="N77" s="98"/>
      <c r="O77" s="98"/>
      <c r="P77" s="98"/>
      <c r="Q77" s="98"/>
      <c r="R77" s="98"/>
      <c r="S77" s="98"/>
      <c r="T77" s="98"/>
      <c r="U77" s="98"/>
    </row>
    <row r="78" spans="1:21">
      <c r="A78" s="132">
        <v>2000000</v>
      </c>
      <c r="B78" s="103" t="s">
        <v>117</v>
      </c>
      <c r="C78" s="102"/>
      <c r="D78" s="106"/>
      <c r="E78" s="133"/>
      <c r="F78" s="98"/>
      <c r="G78" s="98"/>
      <c r="H78" s="98"/>
      <c r="I78" s="98"/>
      <c r="J78" s="98"/>
      <c r="K78" s="98"/>
      <c r="L78" s="98"/>
      <c r="M78" s="98"/>
      <c r="N78" s="98"/>
      <c r="O78" s="98"/>
      <c r="P78" s="98"/>
      <c r="Q78" s="98"/>
      <c r="R78" s="98"/>
      <c r="S78" s="98"/>
      <c r="T78" s="98"/>
      <c r="U78" s="98"/>
    </row>
    <row r="79" spans="1:21">
      <c r="A79" s="132">
        <v>100000000000</v>
      </c>
      <c r="B79" s="103" t="s">
        <v>211</v>
      </c>
      <c r="C79" s="102"/>
      <c r="D79" s="106"/>
      <c r="E79" s="133"/>
      <c r="F79" s="98"/>
      <c r="G79" s="98"/>
      <c r="H79" s="98"/>
      <c r="I79" s="98"/>
      <c r="J79" s="98"/>
      <c r="K79" s="98"/>
      <c r="L79" s="98"/>
      <c r="M79" s="98"/>
      <c r="N79" s="98"/>
      <c r="O79" s="98"/>
      <c r="P79" s="98"/>
      <c r="Q79" s="98"/>
      <c r="R79" s="98"/>
      <c r="S79" s="98"/>
      <c r="T79" s="98"/>
      <c r="U79" s="98"/>
    </row>
    <row r="80" spans="1:21">
      <c r="A80" s="132">
        <v>0.25</v>
      </c>
      <c r="B80" s="103" t="s">
        <v>210</v>
      </c>
      <c r="C80" s="102"/>
      <c r="D80" s="106"/>
      <c r="E80" s="133"/>
      <c r="F80" s="98"/>
      <c r="G80" s="98"/>
      <c r="H80" s="98"/>
      <c r="I80" s="98"/>
      <c r="J80" s="98"/>
      <c r="K80" s="98"/>
      <c r="L80" s="98"/>
      <c r="M80" s="98"/>
      <c r="N80" s="98"/>
      <c r="O80" s="98"/>
      <c r="P80" s="98"/>
      <c r="Q80" s="98"/>
      <c r="R80" s="98"/>
      <c r="S80" s="98"/>
      <c r="T80" s="98"/>
      <c r="U80" s="98"/>
    </row>
    <row r="81" spans="1:21">
      <c r="A81" s="132">
        <f>A98</f>
        <v>50000000000</v>
      </c>
      <c r="B81" s="103" t="s">
        <v>284</v>
      </c>
      <c r="C81" s="102"/>
      <c r="D81" s="106"/>
      <c r="E81" s="133"/>
      <c r="F81" s="98"/>
      <c r="G81" s="98"/>
      <c r="H81" s="98"/>
      <c r="I81" s="98"/>
      <c r="J81" s="98"/>
      <c r="K81" s="98"/>
      <c r="L81" s="98"/>
      <c r="M81" s="98"/>
      <c r="N81" s="98"/>
      <c r="O81" s="98"/>
      <c r="P81" s="98"/>
      <c r="Q81" s="98"/>
      <c r="R81" s="98"/>
      <c r="S81" s="98"/>
      <c r="T81" s="98"/>
      <c r="U81" s="98"/>
    </row>
    <row r="82" spans="1:21" ht="13.5" thickBot="1">
      <c r="A82" s="136">
        <f>A99</f>
        <v>3154786.7224009638</v>
      </c>
      <c r="B82" s="137" t="s">
        <v>285</v>
      </c>
      <c r="C82" s="138"/>
      <c r="D82" s="139"/>
      <c r="E82" s="140"/>
      <c r="F82" s="98"/>
      <c r="G82" s="98"/>
      <c r="H82" s="98"/>
      <c r="I82" s="98"/>
      <c r="J82" s="98"/>
      <c r="K82" s="98"/>
      <c r="L82" s="98"/>
      <c r="M82" s="98"/>
      <c r="N82" s="98"/>
      <c r="O82" s="98"/>
      <c r="P82" s="98"/>
      <c r="Q82" s="98"/>
      <c r="R82" s="98"/>
      <c r="S82" s="98"/>
      <c r="T82" s="98"/>
      <c r="U82" s="98"/>
    </row>
    <row r="83" spans="1:21">
      <c r="A83" s="90" t="s">
        <v>4</v>
      </c>
      <c r="B83" s="83"/>
      <c r="D83" s="83"/>
      <c r="E83" s="83"/>
      <c r="F83" s="98"/>
      <c r="G83" s="98"/>
      <c r="H83" s="98"/>
      <c r="I83" s="98"/>
      <c r="J83" s="98"/>
      <c r="K83" s="98"/>
      <c r="L83" s="98"/>
      <c r="M83" s="98"/>
      <c r="N83" s="98"/>
      <c r="O83" s="98"/>
      <c r="P83" s="98"/>
      <c r="Q83" s="98"/>
      <c r="R83" s="98"/>
      <c r="S83" s="98"/>
      <c r="T83" s="98"/>
      <c r="U83" s="98"/>
    </row>
    <row r="84" spans="1:21">
      <c r="A84" s="83"/>
      <c r="B84" s="83"/>
      <c r="D84" s="83" t="s">
        <v>217</v>
      </c>
      <c r="E84" s="83" t="s">
        <v>203</v>
      </c>
      <c r="F84" s="98"/>
      <c r="G84" s="98"/>
      <c r="H84" s="98"/>
      <c r="I84" s="98"/>
      <c r="J84" s="98"/>
      <c r="K84" s="98"/>
      <c r="L84" s="98"/>
      <c r="M84" s="98"/>
      <c r="N84" s="98"/>
      <c r="O84" s="98"/>
      <c r="P84" s="98"/>
      <c r="Q84" s="98"/>
      <c r="R84" s="98"/>
      <c r="S84" s="98"/>
      <c r="T84" s="98"/>
      <c r="U84" s="98"/>
    </row>
    <row r="85" spans="1:21">
      <c r="A85" s="77" t="s">
        <v>189</v>
      </c>
      <c r="B85" s="78"/>
      <c r="C85" s="78"/>
      <c r="D85" s="114"/>
      <c r="E85" s="82"/>
      <c r="F85" s="98"/>
      <c r="G85" s="98"/>
      <c r="H85" s="98"/>
      <c r="I85" s="98"/>
      <c r="J85" s="98"/>
      <c r="K85" s="98"/>
      <c r="L85" s="98"/>
      <c r="M85" s="98"/>
      <c r="N85" s="98"/>
      <c r="O85" s="98"/>
      <c r="P85" s="98"/>
      <c r="Q85" s="98"/>
      <c r="R85" s="98"/>
      <c r="S85" s="98"/>
      <c r="T85" s="98"/>
      <c r="U85" s="98"/>
    </row>
    <row r="86" spans="1:21">
      <c r="A86" s="115">
        <v>50000000000</v>
      </c>
      <c r="B86" s="82" t="s">
        <v>204</v>
      </c>
      <c r="C86" s="82" t="s">
        <v>140</v>
      </c>
      <c r="D86" s="114"/>
      <c r="E86" s="82"/>
      <c r="F86" s="98"/>
      <c r="G86" s="98"/>
      <c r="H86" s="98"/>
      <c r="I86" s="98"/>
      <c r="J86" s="98"/>
      <c r="K86" s="98"/>
      <c r="L86" s="98"/>
      <c r="M86" s="98"/>
      <c r="N86" s="98"/>
      <c r="O86" s="98"/>
      <c r="P86" s="98"/>
      <c r="Q86" s="98"/>
      <c r="R86" s="98"/>
      <c r="S86" s="98"/>
      <c r="T86" s="98"/>
      <c r="U86" s="98"/>
    </row>
    <row r="87" spans="1:21">
      <c r="A87" s="115">
        <f>A86*10^(-E87)</f>
        <v>1581.138830084185</v>
      </c>
      <c r="B87" s="82" t="s">
        <v>190</v>
      </c>
      <c r="C87" s="82" t="s">
        <v>138</v>
      </c>
      <c r="D87" s="114">
        <f>10^-E87</f>
        <v>3.1622776601683699E-8</v>
      </c>
      <c r="E87" s="82">
        <v>7.5</v>
      </c>
      <c r="F87" s="98"/>
      <c r="G87" s="98"/>
      <c r="H87" s="98"/>
      <c r="I87" s="98"/>
      <c r="J87" s="98"/>
      <c r="K87" s="98"/>
      <c r="L87" s="98"/>
      <c r="M87" s="98"/>
      <c r="N87" s="98"/>
      <c r="O87" s="98"/>
      <c r="P87" s="98"/>
      <c r="Q87" s="98"/>
      <c r="R87" s="98"/>
      <c r="S87" s="98"/>
      <c r="T87" s="98"/>
      <c r="U87" s="98"/>
    </row>
    <row r="88" spans="1:21">
      <c r="A88" s="77" t="s">
        <v>141</v>
      </c>
      <c r="B88" s="78"/>
      <c r="C88" s="78"/>
      <c r="D88" s="83"/>
      <c r="E88" s="83"/>
      <c r="F88" s="98"/>
      <c r="G88" s="98"/>
      <c r="H88" s="98"/>
      <c r="I88" s="98"/>
      <c r="J88" s="98"/>
      <c r="K88" s="98"/>
      <c r="L88" s="98"/>
      <c r="M88" s="98"/>
      <c r="N88" s="98"/>
      <c r="O88" s="98"/>
      <c r="P88" s="98"/>
      <c r="Q88" s="98"/>
      <c r="R88" s="98"/>
      <c r="S88" s="98"/>
      <c r="T88" s="98"/>
      <c r="U88" s="98"/>
    </row>
    <row r="89" spans="1:21">
      <c r="A89" s="115">
        <v>50000000000</v>
      </c>
      <c r="B89" s="82" t="s">
        <v>142</v>
      </c>
      <c r="C89" s="82" t="s">
        <v>140</v>
      </c>
      <c r="D89" s="82"/>
      <c r="E89" s="82"/>
      <c r="F89" s="98"/>
      <c r="G89" s="98"/>
      <c r="H89" s="98"/>
      <c r="I89" s="98"/>
      <c r="J89" s="98"/>
      <c r="K89" s="98"/>
      <c r="L89" s="98"/>
      <c r="M89" s="98"/>
      <c r="N89" s="98"/>
      <c r="O89" s="98"/>
      <c r="P89" s="98"/>
      <c r="Q89" s="98"/>
      <c r="R89" s="98"/>
      <c r="S89" s="98"/>
      <c r="T89" s="98"/>
      <c r="U89" s="98"/>
    </row>
    <row r="90" spans="1:21">
      <c r="A90" s="115">
        <f>A89*10^(-E90)</f>
        <v>6.2946270589708142E-2</v>
      </c>
      <c r="B90" s="82" t="s">
        <v>143</v>
      </c>
      <c r="C90" s="82" t="s">
        <v>138</v>
      </c>
      <c r="D90" s="114">
        <f>10^-E90</f>
        <v>1.2589254117941629E-12</v>
      </c>
      <c r="E90" s="82">
        <v>11.9</v>
      </c>
      <c r="F90" s="98"/>
      <c r="G90" s="98"/>
      <c r="H90" s="98"/>
      <c r="I90" s="98"/>
      <c r="J90" s="98"/>
      <c r="K90" s="98"/>
      <c r="L90" s="98"/>
      <c r="M90" s="98"/>
      <c r="N90" s="98"/>
      <c r="O90" s="98"/>
      <c r="P90" s="98"/>
      <c r="Q90" s="98"/>
      <c r="R90" s="98"/>
      <c r="S90" s="98"/>
      <c r="T90" s="98"/>
      <c r="U90" s="98"/>
    </row>
    <row r="91" spans="1:21">
      <c r="A91" s="83" t="s">
        <v>215</v>
      </c>
      <c r="B91" s="83"/>
      <c r="D91" s="83"/>
      <c r="E91" s="83"/>
      <c r="F91" s="98"/>
      <c r="G91" s="98"/>
      <c r="H91" s="98"/>
      <c r="I91" s="98"/>
      <c r="J91" s="98"/>
      <c r="K91" s="98"/>
      <c r="L91" s="98"/>
      <c r="M91" s="98"/>
      <c r="N91" s="98"/>
      <c r="O91" s="98"/>
      <c r="P91" s="98"/>
      <c r="Q91" s="98"/>
      <c r="R91" s="98"/>
      <c r="S91" s="98"/>
      <c r="T91" s="98"/>
      <c r="U91" s="98"/>
    </row>
    <row r="92" spans="1:21">
      <c r="A92" s="115">
        <v>50000000000</v>
      </c>
      <c r="B92" s="83" t="s">
        <v>216</v>
      </c>
      <c r="C92" s="82" t="s">
        <v>140</v>
      </c>
      <c r="D92" s="114"/>
      <c r="E92" s="82"/>
      <c r="F92" s="98"/>
      <c r="G92" s="98"/>
      <c r="H92" s="98"/>
      <c r="I92" s="98"/>
      <c r="J92" s="98"/>
      <c r="K92" s="98"/>
      <c r="L92" s="98"/>
      <c r="M92" s="98"/>
      <c r="N92" s="98"/>
      <c r="O92" s="98"/>
      <c r="P92" s="98"/>
      <c r="Q92" s="98"/>
      <c r="R92" s="98"/>
      <c r="S92" s="98"/>
      <c r="T92" s="98"/>
      <c r="U92" s="98"/>
    </row>
    <row r="93" spans="1:21">
      <c r="A93" s="115">
        <f>A92*10^(-E93)</f>
        <v>997631.1574844385</v>
      </c>
      <c r="B93" s="83" t="s">
        <v>117</v>
      </c>
      <c r="C93" s="82" t="s">
        <v>205</v>
      </c>
      <c r="D93" s="114">
        <f>10^-E93</f>
        <v>1.9952623149688769E-5</v>
      </c>
      <c r="E93" s="82">
        <v>4.7</v>
      </c>
      <c r="F93" s="98"/>
      <c r="G93" s="98"/>
      <c r="H93" s="98"/>
      <c r="I93" s="98"/>
      <c r="J93" s="98"/>
      <c r="K93" s="98"/>
      <c r="L93" s="98"/>
      <c r="M93" s="98"/>
      <c r="N93" s="98"/>
      <c r="O93" s="98"/>
      <c r="P93" s="98"/>
      <c r="Q93" s="98"/>
      <c r="R93" s="98"/>
      <c r="S93" s="98"/>
      <c r="T93" s="98"/>
      <c r="U93" s="98"/>
    </row>
    <row r="94" spans="1:21">
      <c r="A94" s="115" t="s">
        <v>213</v>
      </c>
      <c r="B94" s="83"/>
      <c r="C94" s="82"/>
      <c r="D94" s="114"/>
      <c r="E94" s="82"/>
      <c r="F94" s="98"/>
      <c r="G94" s="98"/>
      <c r="H94" s="98"/>
      <c r="I94" s="98"/>
      <c r="J94" s="98"/>
      <c r="K94" s="98"/>
      <c r="L94" s="98"/>
      <c r="M94" s="98"/>
      <c r="N94" s="98"/>
      <c r="O94" s="98"/>
      <c r="P94" s="98"/>
      <c r="Q94" s="98"/>
      <c r="R94" s="98"/>
      <c r="S94" s="98"/>
      <c r="T94" s="98"/>
      <c r="U94" s="98"/>
    </row>
    <row r="95" spans="1:21">
      <c r="A95" s="115">
        <v>50000000000</v>
      </c>
      <c r="B95" s="82" t="s">
        <v>211</v>
      </c>
      <c r="C95" s="82" t="s">
        <v>140</v>
      </c>
      <c r="D95" s="114"/>
      <c r="E95" s="82"/>
      <c r="F95" s="98"/>
      <c r="G95" s="98"/>
      <c r="H95" s="98"/>
      <c r="I95" s="98"/>
      <c r="J95" s="98"/>
      <c r="K95" s="98"/>
      <c r="L95" s="98"/>
      <c r="M95" s="98"/>
      <c r="N95" s="98"/>
      <c r="O95" s="98"/>
      <c r="P95" s="98"/>
      <c r="Q95" s="98"/>
      <c r="R95" s="98"/>
      <c r="S95" s="98"/>
      <c r="T95" s="98"/>
      <c r="U95" s="98"/>
    </row>
    <row r="96" spans="1:21">
      <c r="A96" s="115">
        <f>A95*10^(-E96)</f>
        <v>0.12559432157547862</v>
      </c>
      <c r="B96" s="83" t="s">
        <v>210</v>
      </c>
      <c r="C96" s="82" t="s">
        <v>205</v>
      </c>
      <c r="D96" s="114">
        <f>10^-E96</f>
        <v>2.5118864315095726E-12</v>
      </c>
      <c r="E96" s="82">
        <v>11.6</v>
      </c>
      <c r="F96" s="98"/>
      <c r="G96" s="98"/>
      <c r="H96" s="98"/>
      <c r="I96" s="98"/>
      <c r="J96" s="98"/>
      <c r="K96" s="98"/>
      <c r="L96" s="98"/>
      <c r="M96" s="98"/>
      <c r="N96" s="98"/>
      <c r="O96" s="98"/>
      <c r="P96" s="98"/>
      <c r="Q96" s="98"/>
      <c r="R96" s="98"/>
      <c r="S96" s="98"/>
      <c r="T96" s="98"/>
      <c r="U96" s="98"/>
    </row>
    <row r="97" spans="1:21">
      <c r="A97" s="77" t="s">
        <v>115</v>
      </c>
      <c r="B97" s="79"/>
      <c r="C97" s="80"/>
      <c r="D97" s="83"/>
      <c r="E97" s="83"/>
      <c r="F97" s="98"/>
      <c r="G97" s="98"/>
      <c r="H97" s="98"/>
      <c r="I97" s="98"/>
      <c r="J97" s="98"/>
      <c r="K97" s="98"/>
      <c r="L97" s="98"/>
      <c r="M97" s="98"/>
      <c r="N97" s="98"/>
      <c r="O97" s="98"/>
      <c r="P97" s="98"/>
      <c r="Q97" s="98"/>
      <c r="R97" s="98"/>
      <c r="S97" s="98"/>
      <c r="T97" s="98"/>
      <c r="U97" s="98"/>
    </row>
    <row r="98" spans="1:21">
      <c r="A98" s="115">
        <v>50000000000</v>
      </c>
      <c r="B98" s="82" t="s">
        <v>139</v>
      </c>
      <c r="C98" s="82" t="s">
        <v>140</v>
      </c>
      <c r="D98" s="82"/>
      <c r="E98" s="82"/>
      <c r="F98" s="98"/>
      <c r="G98" s="98"/>
      <c r="H98" s="98"/>
      <c r="I98" s="98"/>
      <c r="J98" s="98"/>
      <c r="K98" s="98"/>
      <c r="L98" s="98"/>
      <c r="M98" s="98"/>
      <c r="N98" s="98"/>
      <c r="O98" s="98"/>
      <c r="P98" s="98"/>
      <c r="Q98" s="98"/>
      <c r="R98" s="98"/>
      <c r="S98" s="98"/>
      <c r="T98" s="98"/>
      <c r="U98" s="98"/>
    </row>
    <row r="99" spans="1:21">
      <c r="A99" s="115">
        <f>A98*10^(-E99)</f>
        <v>3154786.7224009638</v>
      </c>
      <c r="B99" s="82" t="s">
        <v>144</v>
      </c>
      <c r="C99" s="82" t="s">
        <v>138</v>
      </c>
      <c r="D99" s="114">
        <f>10^-E99</f>
        <v>6.3095734448019279E-5</v>
      </c>
      <c r="E99" s="82">
        <v>4.2</v>
      </c>
      <c r="F99" s="98"/>
      <c r="G99" s="98"/>
      <c r="H99" s="98"/>
      <c r="I99" s="98"/>
      <c r="J99" s="98"/>
      <c r="K99" s="98"/>
      <c r="L99" s="98"/>
      <c r="M99" s="98"/>
      <c r="N99" s="98"/>
      <c r="O99" s="98"/>
      <c r="P99" s="98"/>
      <c r="Q99" s="98"/>
      <c r="R99" s="98"/>
      <c r="S99" s="98"/>
      <c r="T99" s="98"/>
      <c r="U99" s="98"/>
    </row>
    <row r="100" spans="1:21">
      <c r="A100" s="83"/>
      <c r="B100" s="83"/>
      <c r="D100" s="83"/>
      <c r="E100" s="83"/>
      <c r="F100" s="98"/>
      <c r="G100" s="98"/>
      <c r="H100" s="98"/>
      <c r="I100" s="98"/>
      <c r="J100" s="98"/>
      <c r="K100" s="98"/>
      <c r="L100" s="98"/>
      <c r="M100" s="98"/>
      <c r="N100" s="98"/>
      <c r="O100" s="98"/>
      <c r="P100" s="98"/>
      <c r="Q100" s="98"/>
      <c r="R100" s="98"/>
      <c r="S100" s="98"/>
      <c r="T100" s="98"/>
      <c r="U100" s="98"/>
    </row>
    <row r="101" spans="1:21">
      <c r="A101" s="83" t="s">
        <v>214</v>
      </c>
      <c r="B101" s="83"/>
      <c r="D101" s="83"/>
      <c r="E101" s="83"/>
      <c r="F101" s="98"/>
      <c r="G101" s="98"/>
      <c r="H101" s="98"/>
      <c r="I101" s="98"/>
      <c r="J101" s="98"/>
      <c r="K101" s="98"/>
      <c r="L101" s="98"/>
      <c r="M101" s="98"/>
      <c r="N101" s="98"/>
      <c r="O101" s="98"/>
      <c r="P101" s="98"/>
      <c r="Q101" s="98"/>
      <c r="R101" s="98"/>
      <c r="S101" s="98"/>
      <c r="T101" s="98"/>
      <c r="U101" s="98"/>
    </row>
    <row r="102" spans="1:21">
      <c r="A102" s="77">
        <v>10000</v>
      </c>
      <c r="B102" s="78" t="s">
        <v>149</v>
      </c>
      <c r="C102" s="78" t="s">
        <v>259</v>
      </c>
      <c r="D102" s="83" t="s">
        <v>147</v>
      </c>
      <c r="E102" s="116">
        <v>10000</v>
      </c>
      <c r="F102" s="98"/>
      <c r="G102" s="98"/>
      <c r="H102" s="98"/>
      <c r="I102" s="98"/>
      <c r="J102" s="98"/>
      <c r="K102" s="98"/>
      <c r="L102" s="98"/>
      <c r="M102" s="98"/>
      <c r="N102" s="98"/>
      <c r="O102" s="98"/>
      <c r="P102" s="98"/>
      <c r="Q102" s="98"/>
      <c r="R102" s="98"/>
      <c r="S102" s="98"/>
      <c r="T102" s="98"/>
      <c r="U102" s="98"/>
    </row>
    <row r="103" spans="1:21">
      <c r="A103" s="111">
        <f>A102/1.93</f>
        <v>5181.3471502590673</v>
      </c>
      <c r="B103" s="78" t="s">
        <v>151</v>
      </c>
      <c r="C103" s="81" t="s">
        <v>257</v>
      </c>
      <c r="D103" s="83" t="s">
        <v>147</v>
      </c>
      <c r="E103" s="83" t="s">
        <v>260</v>
      </c>
      <c r="F103" s="98"/>
      <c r="G103" s="98"/>
      <c r="H103" s="98"/>
      <c r="I103" s="98"/>
      <c r="J103" s="98"/>
      <c r="K103" s="98"/>
      <c r="L103" s="98"/>
      <c r="M103" s="98"/>
      <c r="N103" s="98"/>
      <c r="O103" s="98"/>
      <c r="P103" s="98"/>
      <c r="Q103" s="98"/>
      <c r="R103" s="98"/>
      <c r="S103" s="98"/>
      <c r="T103" s="98"/>
      <c r="U103" s="98"/>
    </row>
    <row r="104" spans="1:21">
      <c r="A104" s="111">
        <f>A102*1.3*10^5</f>
        <v>1300000000</v>
      </c>
      <c r="B104" s="78" t="s">
        <v>152</v>
      </c>
      <c r="C104" s="81" t="s">
        <v>258</v>
      </c>
      <c r="D104" s="83" t="s">
        <v>147</v>
      </c>
      <c r="E104" s="83" t="s">
        <v>261</v>
      </c>
      <c r="F104" s="98"/>
      <c r="G104" s="98"/>
      <c r="H104" s="98"/>
      <c r="I104" s="98"/>
      <c r="J104" s="98"/>
      <c r="K104" s="98"/>
      <c r="L104" s="98"/>
      <c r="M104" s="98"/>
      <c r="N104" s="98"/>
      <c r="O104" s="98"/>
      <c r="P104" s="98"/>
      <c r="Q104" s="98"/>
      <c r="R104" s="98"/>
      <c r="S104" s="98"/>
      <c r="T104" s="98"/>
      <c r="U104" s="98"/>
    </row>
    <row r="105" spans="1:21">
      <c r="A105" s="83"/>
      <c r="B105" s="83"/>
      <c r="D105" s="83"/>
      <c r="E105" s="116"/>
      <c r="F105" s="98"/>
      <c r="G105" s="98"/>
      <c r="H105" s="98"/>
      <c r="I105" s="98"/>
      <c r="J105" s="98"/>
      <c r="K105" s="98"/>
      <c r="L105" s="98"/>
      <c r="M105" s="98"/>
      <c r="N105" s="98"/>
      <c r="O105" s="98"/>
      <c r="P105" s="98"/>
      <c r="Q105" s="98"/>
      <c r="R105" s="98"/>
      <c r="S105" s="98"/>
      <c r="T105" s="98"/>
      <c r="U105" s="98"/>
    </row>
    <row r="106" spans="1:21">
      <c r="A106" s="83"/>
      <c r="B106" s="83"/>
      <c r="D106" s="83"/>
      <c r="E106" s="83"/>
      <c r="F106" s="98"/>
      <c r="G106" s="98"/>
      <c r="H106" s="98"/>
      <c r="I106" s="98"/>
      <c r="J106" s="98"/>
      <c r="K106" s="98"/>
      <c r="L106" s="98"/>
      <c r="M106" s="98"/>
      <c r="N106" s="98"/>
      <c r="O106" s="98"/>
      <c r="P106" s="98"/>
      <c r="Q106" s="98"/>
      <c r="R106" s="98"/>
      <c r="S106" s="98"/>
      <c r="T106" s="98"/>
      <c r="U106" s="98"/>
    </row>
    <row r="107" spans="1:21">
      <c r="A107" s="83"/>
      <c r="B107" s="83"/>
      <c r="D107" s="83"/>
      <c r="E107" s="83"/>
      <c r="F107" s="98"/>
      <c r="G107" s="98"/>
      <c r="H107" s="98"/>
      <c r="I107" s="98"/>
      <c r="J107" s="98"/>
      <c r="K107" s="98"/>
      <c r="L107" s="98"/>
      <c r="M107" s="98"/>
      <c r="N107" s="98"/>
      <c r="O107" s="98"/>
      <c r="P107" s="98"/>
      <c r="Q107" s="98"/>
      <c r="R107" s="98"/>
      <c r="S107" s="98"/>
      <c r="T107" s="98"/>
      <c r="U107" s="98"/>
    </row>
    <row r="108" spans="1:21">
      <c r="A108" s="83"/>
      <c r="B108" s="83"/>
      <c r="D108" s="83"/>
      <c r="E108" s="83"/>
      <c r="F108" s="98"/>
      <c r="G108" s="98"/>
      <c r="H108" s="98"/>
      <c r="I108" s="98"/>
      <c r="J108" s="98"/>
      <c r="K108" s="98"/>
      <c r="L108" s="98"/>
      <c r="M108" s="98"/>
      <c r="N108" s="98"/>
      <c r="O108" s="98"/>
      <c r="P108" s="98"/>
      <c r="Q108" s="98"/>
      <c r="R108" s="98"/>
      <c r="S108" s="98"/>
      <c r="T108" s="98"/>
      <c r="U108" s="98"/>
    </row>
    <row r="109" spans="1:21">
      <c r="A109" s="83"/>
      <c r="B109" s="83"/>
      <c r="D109" s="83"/>
      <c r="E109" s="83"/>
      <c r="F109" s="98"/>
      <c r="G109" s="98"/>
      <c r="H109" s="98"/>
      <c r="I109" s="98"/>
      <c r="J109" s="98"/>
      <c r="K109" s="98"/>
      <c r="L109" s="98"/>
      <c r="M109" s="98"/>
      <c r="N109" s="98"/>
      <c r="O109" s="98"/>
      <c r="P109" s="98"/>
      <c r="Q109" s="98"/>
      <c r="R109" s="98"/>
      <c r="S109" s="98"/>
      <c r="T109" s="98"/>
      <c r="U109" s="98"/>
    </row>
    <row r="110" spans="1:21">
      <c r="A110" s="83"/>
      <c r="B110" s="83"/>
      <c r="D110" s="83"/>
      <c r="E110" s="83"/>
      <c r="F110" s="98"/>
      <c r="G110" s="98"/>
      <c r="H110" s="98"/>
      <c r="I110" s="98"/>
      <c r="J110" s="98"/>
      <c r="K110" s="98"/>
      <c r="L110" s="98"/>
      <c r="M110" s="98"/>
      <c r="N110" s="98"/>
      <c r="O110" s="98"/>
      <c r="P110" s="98"/>
      <c r="Q110" s="98"/>
      <c r="R110" s="98"/>
      <c r="S110" s="98"/>
      <c r="T110" s="98"/>
      <c r="U110" s="98"/>
    </row>
    <row r="111" spans="1:21">
      <c r="A111" s="83"/>
      <c r="B111" s="83"/>
      <c r="D111" s="83"/>
      <c r="E111" s="83"/>
      <c r="F111" s="98"/>
      <c r="G111" s="98"/>
      <c r="H111" s="98"/>
      <c r="I111" s="98"/>
      <c r="J111" s="98"/>
      <c r="K111" s="98"/>
      <c r="L111" s="98"/>
      <c r="M111" s="98"/>
      <c r="N111" s="98"/>
      <c r="O111" s="98"/>
      <c r="P111" s="98"/>
      <c r="Q111" s="98"/>
      <c r="R111" s="98"/>
      <c r="S111" s="98"/>
      <c r="T111" s="98"/>
      <c r="U111" s="98"/>
    </row>
    <row r="112" spans="1:21">
      <c r="A112" s="83"/>
      <c r="B112" s="83"/>
      <c r="D112" s="83"/>
      <c r="E112" s="83"/>
      <c r="F112" s="98"/>
      <c r="G112" s="98"/>
      <c r="H112" s="98"/>
      <c r="I112" s="98"/>
      <c r="J112" s="98"/>
      <c r="K112" s="98"/>
      <c r="L112" s="98"/>
      <c r="M112" s="98"/>
      <c r="N112" s="98"/>
      <c r="O112" s="98"/>
      <c r="P112" s="98"/>
      <c r="Q112" s="98"/>
      <c r="R112" s="98"/>
      <c r="S112" s="98"/>
      <c r="T112" s="98"/>
      <c r="U112" s="98"/>
    </row>
    <row r="113" spans="1:21">
      <c r="A113" s="83"/>
      <c r="B113" s="83"/>
      <c r="D113" s="83"/>
      <c r="E113" s="83"/>
      <c r="F113" s="98"/>
      <c r="G113" s="98"/>
      <c r="H113" s="98"/>
      <c r="I113" s="98"/>
      <c r="J113" s="98"/>
      <c r="K113" s="98"/>
      <c r="L113" s="98"/>
      <c r="M113" s="98"/>
      <c r="N113" s="98"/>
      <c r="O113" s="98"/>
      <c r="P113" s="98"/>
      <c r="Q113" s="98"/>
      <c r="R113" s="98"/>
      <c r="S113" s="98"/>
      <c r="T113" s="98"/>
      <c r="U113" s="98"/>
    </row>
    <row r="114" spans="1:21">
      <c r="A114" s="83"/>
      <c r="B114" s="83"/>
      <c r="D114" s="83"/>
      <c r="E114" s="83"/>
      <c r="F114" s="98"/>
      <c r="G114" s="98"/>
      <c r="H114" s="98"/>
      <c r="I114" s="98"/>
      <c r="J114" s="98"/>
      <c r="K114" s="98"/>
      <c r="L114" s="98"/>
      <c r="M114" s="98"/>
      <c r="N114" s="98"/>
      <c r="O114" s="98"/>
      <c r="P114" s="98"/>
      <c r="Q114" s="98"/>
      <c r="R114" s="98"/>
      <c r="S114" s="98"/>
      <c r="T114" s="98"/>
      <c r="U114" s="98"/>
    </row>
    <row r="115" spans="1:21">
      <c r="A115" s="83"/>
      <c r="B115" s="83"/>
      <c r="D115" s="83"/>
      <c r="E115" s="83"/>
      <c r="F115" s="98"/>
      <c r="G115" s="98"/>
      <c r="H115" s="98"/>
      <c r="I115" s="98"/>
      <c r="J115" s="98"/>
      <c r="K115" s="98"/>
      <c r="L115" s="98"/>
      <c r="M115" s="98"/>
      <c r="N115" s="98"/>
      <c r="O115" s="98"/>
      <c r="P115" s="98"/>
      <c r="Q115" s="98"/>
      <c r="R115" s="98"/>
      <c r="S115" s="98"/>
      <c r="T115" s="98"/>
      <c r="U115" s="98"/>
    </row>
    <row r="116" spans="1:21">
      <c r="A116" s="83"/>
      <c r="B116" s="83"/>
      <c r="D116" s="83"/>
      <c r="E116" s="83"/>
      <c r="F116" s="98"/>
      <c r="G116" s="98"/>
      <c r="H116" s="98"/>
      <c r="I116" s="98"/>
      <c r="J116" s="98"/>
      <c r="K116" s="98"/>
      <c r="L116" s="98"/>
      <c r="M116" s="98"/>
      <c r="N116" s="98"/>
      <c r="O116" s="98"/>
      <c r="P116" s="98"/>
      <c r="Q116" s="98"/>
      <c r="R116" s="98"/>
      <c r="S116" s="98"/>
      <c r="T116" s="98"/>
      <c r="U116" s="98"/>
    </row>
    <row r="117" spans="1:21">
      <c r="A117" s="83"/>
      <c r="B117" s="83"/>
      <c r="D117" s="83"/>
      <c r="E117" s="83"/>
      <c r="F117" s="98"/>
      <c r="G117" s="98"/>
      <c r="H117" s="98"/>
      <c r="I117" s="98"/>
      <c r="J117" s="98"/>
      <c r="K117" s="98"/>
      <c r="L117" s="98"/>
      <c r="M117" s="98"/>
      <c r="N117" s="98"/>
      <c r="O117" s="98"/>
      <c r="P117" s="98"/>
      <c r="Q117" s="98"/>
      <c r="R117" s="98"/>
      <c r="S117" s="98"/>
      <c r="T117" s="98"/>
      <c r="U117" s="98"/>
    </row>
    <row r="118" spans="1:21">
      <c r="A118" s="83"/>
      <c r="B118" s="83"/>
      <c r="D118" s="83"/>
      <c r="E118" s="83"/>
      <c r="F118" s="98"/>
      <c r="G118" s="98"/>
      <c r="H118" s="98"/>
      <c r="I118" s="98"/>
      <c r="J118" s="98"/>
      <c r="K118" s="98"/>
      <c r="L118" s="98"/>
      <c r="M118" s="98"/>
      <c r="N118" s="98"/>
      <c r="O118" s="98"/>
      <c r="P118" s="98"/>
      <c r="Q118" s="98"/>
      <c r="R118" s="98"/>
      <c r="S118" s="98"/>
      <c r="T118" s="98"/>
      <c r="U118" s="98"/>
    </row>
    <row r="119" spans="1:21">
      <c r="A119" s="83"/>
      <c r="B119" s="83"/>
      <c r="D119" s="83"/>
      <c r="E119" s="83"/>
      <c r="F119" s="98"/>
      <c r="G119" s="98"/>
      <c r="H119" s="98"/>
      <c r="I119" s="98"/>
      <c r="J119" s="98"/>
      <c r="K119" s="98"/>
      <c r="L119" s="98"/>
      <c r="M119" s="98"/>
      <c r="N119" s="98"/>
      <c r="O119" s="98"/>
      <c r="P119" s="98"/>
      <c r="Q119" s="98"/>
      <c r="R119" s="98"/>
      <c r="S119" s="98"/>
      <c r="T119" s="98"/>
      <c r="U119" s="98"/>
    </row>
    <row r="120" spans="1:21">
      <c r="A120" s="83"/>
      <c r="B120" s="83"/>
      <c r="D120" s="83"/>
      <c r="E120" s="83"/>
      <c r="F120" s="98"/>
      <c r="G120" s="98"/>
      <c r="H120" s="98"/>
      <c r="I120" s="98"/>
      <c r="J120" s="98"/>
      <c r="K120" s="98"/>
      <c r="L120" s="98"/>
      <c r="M120" s="98"/>
      <c r="N120" s="98"/>
      <c r="O120" s="98"/>
      <c r="P120" s="98"/>
      <c r="Q120" s="98"/>
      <c r="R120" s="98"/>
      <c r="S120" s="98"/>
      <c r="T120" s="98"/>
      <c r="U120" s="98"/>
    </row>
    <row r="121" spans="1:21">
      <c r="A121" s="83"/>
      <c r="B121" s="83"/>
      <c r="D121" s="83"/>
      <c r="E121" s="83"/>
      <c r="F121" s="98"/>
      <c r="G121" s="98"/>
      <c r="H121" s="98"/>
      <c r="I121" s="98"/>
      <c r="J121" s="98"/>
      <c r="K121" s="98"/>
      <c r="L121" s="98"/>
      <c r="M121" s="98"/>
      <c r="N121" s="98"/>
      <c r="O121" s="98"/>
      <c r="P121" s="98"/>
      <c r="Q121" s="98"/>
      <c r="R121" s="98"/>
      <c r="S121" s="98"/>
      <c r="T121" s="98"/>
      <c r="U121" s="98"/>
    </row>
    <row r="122" spans="1:21">
      <c r="A122" s="83"/>
      <c r="B122" s="83"/>
      <c r="D122" s="83"/>
      <c r="E122" s="83"/>
      <c r="F122" s="98"/>
      <c r="G122" s="98"/>
      <c r="H122" s="98"/>
      <c r="I122" s="98"/>
      <c r="J122" s="98"/>
      <c r="K122" s="98"/>
      <c r="L122" s="98"/>
      <c r="M122" s="98"/>
      <c r="N122" s="98"/>
      <c r="O122" s="98"/>
      <c r="P122" s="98"/>
      <c r="Q122" s="98"/>
      <c r="R122" s="98"/>
      <c r="S122" s="98"/>
      <c r="T122" s="98"/>
      <c r="U122" s="98"/>
    </row>
    <row r="123" spans="1:21">
      <c r="A123" s="83"/>
      <c r="B123" s="83"/>
      <c r="D123" s="83"/>
      <c r="E123" s="83"/>
      <c r="F123" s="98"/>
      <c r="G123" s="98"/>
      <c r="H123" s="98"/>
      <c r="I123" s="98"/>
      <c r="J123" s="98"/>
      <c r="K123" s="98"/>
      <c r="L123" s="98"/>
      <c r="M123" s="98"/>
      <c r="N123" s="98"/>
      <c r="O123" s="98"/>
      <c r="P123" s="98"/>
      <c r="Q123" s="98"/>
      <c r="R123" s="98"/>
      <c r="S123" s="98"/>
      <c r="T123" s="98"/>
      <c r="U123" s="98"/>
    </row>
    <row r="124" spans="1:21">
      <c r="A124" s="83"/>
      <c r="B124" s="83"/>
      <c r="D124" s="83"/>
      <c r="E124" s="83"/>
      <c r="F124" s="98"/>
      <c r="G124" s="98"/>
      <c r="H124" s="98"/>
      <c r="I124" s="98"/>
      <c r="J124" s="98"/>
      <c r="K124" s="98"/>
      <c r="L124" s="98"/>
      <c r="M124" s="98"/>
      <c r="N124" s="98"/>
      <c r="O124" s="98"/>
      <c r="P124" s="98"/>
      <c r="Q124" s="98"/>
      <c r="R124" s="98"/>
      <c r="S124" s="98"/>
      <c r="T124" s="98"/>
      <c r="U124" s="98"/>
    </row>
    <row r="125" spans="1:21">
      <c r="A125" s="83"/>
      <c r="B125" s="83"/>
      <c r="D125" s="83"/>
      <c r="E125" s="83"/>
      <c r="F125" s="98"/>
      <c r="G125" s="98"/>
      <c r="H125" s="98"/>
      <c r="I125" s="98"/>
      <c r="J125" s="98"/>
      <c r="K125" s="98"/>
      <c r="L125" s="98"/>
      <c r="M125" s="98"/>
      <c r="N125" s="98"/>
      <c r="O125" s="98"/>
      <c r="P125" s="98"/>
      <c r="Q125" s="98"/>
      <c r="R125" s="98"/>
      <c r="S125" s="98"/>
      <c r="T125" s="98"/>
      <c r="U125" s="98"/>
    </row>
    <row r="126" spans="1:21">
      <c r="A126" s="83"/>
      <c r="B126" s="83"/>
      <c r="D126" s="83"/>
      <c r="E126" s="83"/>
      <c r="F126" s="98"/>
      <c r="G126" s="98"/>
      <c r="H126" s="98"/>
      <c r="I126" s="98"/>
      <c r="J126" s="98"/>
      <c r="K126" s="98"/>
      <c r="L126" s="98"/>
      <c r="M126" s="98"/>
      <c r="N126" s="98"/>
      <c r="O126" s="98"/>
      <c r="P126" s="98"/>
      <c r="Q126" s="98"/>
      <c r="R126" s="98"/>
      <c r="S126" s="98"/>
      <c r="T126" s="98"/>
      <c r="U126" s="98"/>
    </row>
    <row r="127" spans="1:21">
      <c r="A127" s="83"/>
      <c r="B127" s="83"/>
      <c r="D127" s="83"/>
      <c r="E127" s="83"/>
      <c r="F127" s="98"/>
      <c r="G127" s="98"/>
      <c r="H127" s="98"/>
      <c r="I127" s="98"/>
      <c r="J127" s="98"/>
      <c r="K127" s="98"/>
      <c r="L127" s="98"/>
      <c r="M127" s="98"/>
      <c r="N127" s="98"/>
      <c r="O127" s="98"/>
      <c r="P127" s="98"/>
      <c r="Q127" s="98"/>
      <c r="R127" s="98"/>
      <c r="S127" s="98"/>
      <c r="T127" s="98"/>
      <c r="U127" s="98"/>
    </row>
    <row r="128" spans="1:21">
      <c r="A128" s="83"/>
      <c r="B128" s="83"/>
      <c r="D128" s="83"/>
      <c r="E128" s="83"/>
      <c r="F128" s="98"/>
      <c r="G128" s="98"/>
      <c r="H128" s="98"/>
      <c r="I128" s="98"/>
      <c r="J128" s="98"/>
      <c r="K128" s="98"/>
      <c r="L128" s="98"/>
      <c r="M128" s="98"/>
      <c r="N128" s="98"/>
      <c r="O128" s="98"/>
      <c r="P128" s="98"/>
      <c r="Q128" s="98"/>
      <c r="R128" s="98"/>
      <c r="S128" s="98"/>
      <c r="T128" s="98"/>
      <c r="U128" s="98"/>
    </row>
    <row r="129" spans="1:21">
      <c r="A129" s="83"/>
      <c r="B129" s="83"/>
      <c r="D129" s="83"/>
      <c r="E129" s="83"/>
      <c r="F129" s="98"/>
      <c r="G129" s="98"/>
      <c r="H129" s="98"/>
      <c r="I129" s="98"/>
      <c r="J129" s="98"/>
      <c r="K129" s="98"/>
      <c r="L129" s="98"/>
      <c r="M129" s="98"/>
      <c r="N129" s="98"/>
      <c r="O129" s="98"/>
      <c r="P129" s="98"/>
      <c r="Q129" s="98"/>
      <c r="R129" s="98"/>
      <c r="S129" s="98"/>
      <c r="T129" s="98"/>
      <c r="U129" s="98"/>
    </row>
    <row r="130" spans="1:21">
      <c r="A130" s="83"/>
      <c r="B130" s="83"/>
      <c r="D130" s="83"/>
      <c r="E130" s="83"/>
      <c r="F130" s="98"/>
      <c r="G130" s="98"/>
      <c r="H130" s="98"/>
      <c r="I130" s="98"/>
      <c r="J130" s="98"/>
      <c r="K130" s="98"/>
      <c r="L130" s="98"/>
      <c r="M130" s="98"/>
      <c r="N130" s="98"/>
      <c r="O130" s="98"/>
      <c r="P130" s="98"/>
      <c r="Q130" s="98"/>
      <c r="R130" s="98"/>
      <c r="S130" s="98"/>
      <c r="T130" s="98"/>
      <c r="U130" s="98"/>
    </row>
    <row r="131" spans="1:21">
      <c r="A131" s="83"/>
      <c r="B131" s="83"/>
      <c r="D131" s="83"/>
      <c r="E131" s="83"/>
      <c r="F131" s="98"/>
      <c r="G131" s="98"/>
      <c r="H131" s="98"/>
      <c r="I131" s="98"/>
      <c r="J131" s="98"/>
      <c r="K131" s="98"/>
      <c r="L131" s="98"/>
      <c r="M131" s="98"/>
      <c r="N131" s="98"/>
      <c r="O131" s="98"/>
      <c r="P131" s="98"/>
      <c r="Q131" s="98"/>
      <c r="R131" s="98"/>
      <c r="S131" s="98"/>
      <c r="T131" s="98"/>
      <c r="U131" s="98"/>
    </row>
    <row r="132" spans="1:21">
      <c r="A132" s="83"/>
      <c r="B132" s="83"/>
      <c r="D132" s="83"/>
      <c r="E132" s="83"/>
      <c r="F132" s="98"/>
      <c r="G132" s="98"/>
      <c r="H132" s="98"/>
      <c r="I132" s="98"/>
      <c r="J132" s="98"/>
      <c r="K132" s="98"/>
      <c r="L132" s="98"/>
      <c r="M132" s="98"/>
      <c r="N132" s="98"/>
      <c r="O132" s="98"/>
      <c r="P132" s="98"/>
      <c r="Q132" s="98"/>
      <c r="R132" s="98"/>
      <c r="S132" s="98"/>
      <c r="T132" s="98"/>
      <c r="U132" s="98"/>
    </row>
    <row r="133" spans="1:21">
      <c r="A133" s="83"/>
      <c r="B133" s="83"/>
      <c r="D133" s="83"/>
      <c r="E133" s="83"/>
      <c r="F133" s="98"/>
      <c r="G133" s="98"/>
      <c r="H133" s="98"/>
      <c r="I133" s="98"/>
      <c r="J133" s="98"/>
      <c r="K133" s="98"/>
      <c r="L133" s="98"/>
      <c r="M133" s="98"/>
      <c r="N133" s="98"/>
      <c r="O133" s="98"/>
      <c r="P133" s="98"/>
      <c r="Q133" s="98"/>
      <c r="R133" s="98"/>
      <c r="S133" s="98"/>
      <c r="T133" s="98"/>
      <c r="U133" s="98"/>
    </row>
    <row r="134" spans="1:21">
      <c r="A134" s="83"/>
      <c r="B134" s="83"/>
      <c r="D134" s="83"/>
      <c r="E134" s="83"/>
      <c r="F134" s="98"/>
      <c r="G134" s="98"/>
      <c r="H134" s="98"/>
      <c r="I134" s="98"/>
      <c r="J134" s="98"/>
      <c r="K134" s="98"/>
      <c r="L134" s="98"/>
      <c r="M134" s="98"/>
      <c r="N134" s="98"/>
      <c r="O134" s="98"/>
      <c r="P134" s="98"/>
      <c r="Q134" s="98"/>
      <c r="R134" s="98"/>
      <c r="S134" s="98"/>
      <c r="T134" s="98"/>
      <c r="U134" s="98"/>
    </row>
    <row r="135" spans="1:21">
      <c r="A135" s="83"/>
      <c r="B135" s="83"/>
      <c r="D135" s="83"/>
      <c r="E135" s="83"/>
      <c r="F135" s="98"/>
      <c r="G135" s="98"/>
      <c r="H135" s="98"/>
      <c r="I135" s="98"/>
      <c r="J135" s="98"/>
      <c r="K135" s="98"/>
      <c r="L135" s="98"/>
      <c r="M135" s="98"/>
      <c r="N135" s="98"/>
      <c r="O135" s="98"/>
      <c r="P135" s="98"/>
      <c r="Q135" s="98"/>
      <c r="R135" s="98"/>
      <c r="S135" s="98"/>
      <c r="T135" s="98"/>
      <c r="U135" s="98"/>
    </row>
    <row r="136" spans="1:21">
      <c r="A136" s="83"/>
      <c r="B136" s="83"/>
      <c r="D136" s="83"/>
      <c r="E136" s="83"/>
      <c r="F136" s="98"/>
      <c r="G136" s="98"/>
      <c r="H136" s="98"/>
      <c r="I136" s="98"/>
      <c r="J136" s="98"/>
      <c r="K136" s="98"/>
      <c r="L136" s="98"/>
      <c r="M136" s="98"/>
      <c r="N136" s="98"/>
      <c r="O136" s="98"/>
      <c r="P136" s="98"/>
      <c r="Q136" s="98"/>
      <c r="R136" s="98"/>
      <c r="S136" s="98"/>
      <c r="T136" s="98"/>
      <c r="U136" s="98"/>
    </row>
    <row r="137" spans="1:21">
      <c r="A137" s="83"/>
      <c r="B137" s="83"/>
      <c r="D137" s="83"/>
      <c r="E137" s="83"/>
      <c r="F137" s="98"/>
      <c r="G137" s="98"/>
      <c r="H137" s="98"/>
      <c r="I137" s="98"/>
      <c r="J137" s="98"/>
      <c r="K137" s="98"/>
      <c r="L137" s="98"/>
      <c r="M137" s="98"/>
      <c r="N137" s="98"/>
      <c r="O137" s="98"/>
      <c r="P137" s="98"/>
      <c r="Q137" s="98"/>
      <c r="R137" s="98"/>
      <c r="S137" s="98"/>
      <c r="T137" s="98"/>
      <c r="U137" s="98"/>
    </row>
    <row r="138" spans="1:21">
      <c r="A138" s="83"/>
      <c r="B138" s="83"/>
      <c r="D138" s="83"/>
      <c r="E138" s="83"/>
      <c r="F138" s="98"/>
      <c r="G138" s="98"/>
      <c r="H138" s="98"/>
      <c r="I138" s="98"/>
      <c r="J138" s="98"/>
      <c r="K138" s="98"/>
      <c r="L138" s="98"/>
      <c r="M138" s="98"/>
      <c r="N138" s="98"/>
      <c r="O138" s="98"/>
      <c r="P138" s="98"/>
      <c r="Q138" s="98"/>
      <c r="R138" s="98"/>
      <c r="S138" s="98"/>
      <c r="T138" s="98"/>
      <c r="U138" s="98"/>
    </row>
    <row r="139" spans="1:21">
      <c r="A139" s="83"/>
      <c r="B139" s="83"/>
      <c r="D139" s="83"/>
      <c r="E139" s="83"/>
      <c r="F139" s="98"/>
      <c r="G139" s="98"/>
      <c r="H139" s="98"/>
      <c r="I139" s="98"/>
      <c r="J139" s="98"/>
      <c r="K139" s="98"/>
      <c r="L139" s="98"/>
      <c r="M139" s="98"/>
      <c r="N139" s="98"/>
      <c r="O139" s="98"/>
      <c r="P139" s="98"/>
      <c r="Q139" s="98"/>
      <c r="R139" s="98"/>
      <c r="S139" s="98"/>
      <c r="T139" s="98"/>
      <c r="U139" s="98"/>
    </row>
    <row r="140" spans="1:21">
      <c r="A140" s="83"/>
      <c r="B140" s="83"/>
      <c r="D140" s="83"/>
      <c r="E140" s="83"/>
      <c r="F140" s="98"/>
      <c r="G140" s="98"/>
      <c r="H140" s="98"/>
      <c r="I140" s="98"/>
      <c r="J140" s="98"/>
      <c r="K140" s="98"/>
      <c r="L140" s="98"/>
      <c r="M140" s="98"/>
      <c r="N140" s="98"/>
      <c r="O140" s="98"/>
      <c r="P140" s="98"/>
      <c r="Q140" s="98"/>
      <c r="R140" s="98"/>
      <c r="S140" s="98"/>
      <c r="T140" s="98"/>
      <c r="U140" s="98"/>
    </row>
    <row r="141" spans="1:21">
      <c r="A141" s="83"/>
      <c r="B141" s="83"/>
      <c r="D141" s="83"/>
      <c r="E141" s="83"/>
      <c r="F141" s="98"/>
      <c r="G141" s="98"/>
      <c r="H141" s="98"/>
      <c r="I141" s="98"/>
      <c r="J141" s="98"/>
      <c r="K141" s="98"/>
      <c r="L141" s="98"/>
      <c r="M141" s="98"/>
      <c r="N141" s="98"/>
      <c r="O141" s="98"/>
      <c r="P141" s="98"/>
      <c r="Q141" s="98"/>
      <c r="R141" s="98"/>
      <c r="S141" s="98"/>
      <c r="T141" s="98"/>
      <c r="U141" s="98"/>
    </row>
    <row r="142" spans="1:21">
      <c r="A142" s="83"/>
      <c r="B142" s="83"/>
      <c r="D142" s="83"/>
      <c r="E142" s="83"/>
      <c r="F142" s="98"/>
      <c r="G142" s="98"/>
      <c r="H142" s="98"/>
      <c r="I142" s="98"/>
      <c r="J142" s="98"/>
      <c r="K142" s="98"/>
      <c r="L142" s="98"/>
      <c r="M142" s="98"/>
      <c r="N142" s="98"/>
      <c r="O142" s="98"/>
      <c r="P142" s="98"/>
      <c r="Q142" s="98"/>
      <c r="R142" s="98"/>
      <c r="S142" s="98"/>
      <c r="T142" s="98"/>
      <c r="U142" s="98"/>
    </row>
    <row r="143" spans="1:21">
      <c r="A143" s="83"/>
      <c r="B143" s="83"/>
      <c r="D143" s="83"/>
      <c r="E143" s="83"/>
      <c r="F143" s="98"/>
      <c r="G143" s="98"/>
      <c r="H143" s="98"/>
      <c r="I143" s="98"/>
      <c r="J143" s="98"/>
      <c r="K143" s="98"/>
      <c r="L143" s="98"/>
      <c r="M143" s="98"/>
      <c r="N143" s="98"/>
      <c r="O143" s="98"/>
      <c r="P143" s="98"/>
      <c r="Q143" s="98"/>
      <c r="R143" s="98"/>
      <c r="S143" s="98"/>
      <c r="T143" s="98"/>
      <c r="U143" s="98"/>
    </row>
    <row r="144" spans="1:21">
      <c r="A144" s="83"/>
      <c r="B144" s="83"/>
      <c r="D144" s="83"/>
      <c r="E144" s="83"/>
      <c r="F144" s="98"/>
      <c r="G144" s="98"/>
      <c r="H144" s="98"/>
      <c r="I144" s="98"/>
      <c r="J144" s="98"/>
      <c r="K144" s="98"/>
      <c r="L144" s="98"/>
      <c r="M144" s="98"/>
      <c r="N144" s="98"/>
      <c r="O144" s="98"/>
      <c r="P144" s="98"/>
      <c r="Q144" s="98"/>
      <c r="R144" s="98"/>
      <c r="S144" s="98"/>
      <c r="T144" s="98"/>
      <c r="U144" s="98"/>
    </row>
    <row r="145" spans="1:21">
      <c r="A145" s="83"/>
      <c r="B145" s="83"/>
      <c r="D145" s="83"/>
      <c r="E145" s="83"/>
      <c r="F145" s="98"/>
      <c r="G145" s="98"/>
      <c r="H145" s="98"/>
      <c r="I145" s="98"/>
      <c r="J145" s="98"/>
      <c r="K145" s="98"/>
      <c r="L145" s="98"/>
      <c r="M145" s="98"/>
      <c r="N145" s="98"/>
      <c r="O145" s="98"/>
      <c r="P145" s="98"/>
      <c r="Q145" s="98"/>
      <c r="R145" s="98"/>
      <c r="S145" s="98"/>
      <c r="T145" s="98"/>
      <c r="U145" s="98"/>
    </row>
    <row r="146" spans="1:21">
      <c r="A146" s="83"/>
      <c r="B146" s="83"/>
      <c r="D146" s="83"/>
      <c r="E146" s="83"/>
      <c r="F146" s="98"/>
      <c r="G146" s="98"/>
      <c r="H146" s="98"/>
      <c r="I146" s="98"/>
      <c r="J146" s="98"/>
      <c r="K146" s="98"/>
      <c r="L146" s="98"/>
      <c r="M146" s="98"/>
      <c r="N146" s="98"/>
      <c r="O146" s="98"/>
      <c r="P146" s="98"/>
      <c r="Q146" s="98"/>
      <c r="R146" s="98"/>
      <c r="S146" s="98"/>
      <c r="T146" s="98"/>
      <c r="U146" s="98"/>
    </row>
    <row r="147" spans="1:21">
      <c r="A147" s="83"/>
      <c r="B147" s="83"/>
      <c r="D147" s="83"/>
      <c r="E147" s="83"/>
      <c r="F147" s="98"/>
      <c r="G147" s="98"/>
      <c r="H147" s="98"/>
      <c r="I147" s="98"/>
      <c r="J147" s="98"/>
      <c r="K147" s="98"/>
      <c r="L147" s="98"/>
      <c r="M147" s="98"/>
      <c r="N147" s="98"/>
      <c r="O147" s="98"/>
      <c r="P147" s="98"/>
      <c r="Q147" s="98"/>
      <c r="R147" s="98"/>
      <c r="S147" s="98"/>
      <c r="T147" s="98"/>
      <c r="U147" s="98"/>
    </row>
    <row r="148" spans="1:21">
      <c r="A148" s="83"/>
      <c r="B148" s="83"/>
      <c r="D148" s="83"/>
      <c r="E148" s="83"/>
      <c r="F148" s="98"/>
      <c r="G148" s="98"/>
      <c r="H148" s="98"/>
      <c r="I148" s="98"/>
      <c r="J148" s="98"/>
      <c r="K148" s="98"/>
      <c r="L148" s="98"/>
      <c r="M148" s="98"/>
      <c r="N148" s="98"/>
      <c r="O148" s="98"/>
      <c r="P148" s="98"/>
      <c r="Q148" s="98"/>
      <c r="R148" s="98"/>
      <c r="S148" s="98"/>
      <c r="T148" s="98"/>
      <c r="U148" s="98"/>
    </row>
    <row r="149" spans="1:21">
      <c r="A149" s="83"/>
      <c r="B149" s="83"/>
      <c r="D149" s="83"/>
      <c r="E149" s="83"/>
      <c r="F149" s="98"/>
      <c r="G149" s="98"/>
      <c r="H149" s="98"/>
      <c r="I149" s="98"/>
      <c r="J149" s="98"/>
      <c r="K149" s="98"/>
      <c r="L149" s="98"/>
      <c r="M149" s="98"/>
      <c r="N149" s="98"/>
      <c r="O149" s="98"/>
      <c r="P149" s="98"/>
      <c r="Q149" s="98"/>
      <c r="R149" s="98"/>
      <c r="S149" s="98"/>
      <c r="T149" s="98"/>
      <c r="U149" s="98"/>
    </row>
    <row r="150" spans="1:21">
      <c r="A150" s="83"/>
      <c r="B150" s="83"/>
      <c r="D150" s="83"/>
      <c r="E150" s="83"/>
      <c r="F150" s="98"/>
      <c r="G150" s="98"/>
      <c r="H150" s="98"/>
      <c r="I150" s="98"/>
      <c r="J150" s="98"/>
      <c r="K150" s="98"/>
      <c r="L150" s="98"/>
      <c r="M150" s="98"/>
      <c r="N150" s="98"/>
      <c r="O150" s="98"/>
      <c r="P150" s="98"/>
      <c r="Q150" s="98"/>
      <c r="R150" s="98"/>
      <c r="S150" s="98"/>
      <c r="T150" s="98"/>
      <c r="U150" s="98"/>
    </row>
    <row r="151" spans="1:21">
      <c r="A151" s="83"/>
      <c r="B151" s="83"/>
      <c r="D151" s="83"/>
      <c r="E151" s="83"/>
      <c r="F151" s="98"/>
      <c r="G151" s="98"/>
      <c r="H151" s="98"/>
      <c r="I151" s="98"/>
      <c r="J151" s="98"/>
      <c r="K151" s="98"/>
      <c r="L151" s="98"/>
      <c r="M151" s="98"/>
      <c r="N151" s="98"/>
      <c r="O151" s="98"/>
      <c r="P151" s="98"/>
      <c r="Q151" s="98"/>
      <c r="R151" s="98"/>
      <c r="S151" s="98"/>
      <c r="T151" s="98"/>
      <c r="U151" s="98"/>
    </row>
    <row r="152" spans="1:21">
      <c r="A152" s="83"/>
      <c r="B152" s="83"/>
      <c r="D152" s="83"/>
      <c r="E152" s="83"/>
      <c r="F152" s="98"/>
      <c r="G152" s="98"/>
      <c r="H152" s="98"/>
      <c r="I152" s="98"/>
      <c r="J152" s="98"/>
      <c r="K152" s="98"/>
      <c r="L152" s="98"/>
      <c r="M152" s="98"/>
      <c r="N152" s="98"/>
      <c r="O152" s="98"/>
      <c r="P152" s="98"/>
      <c r="Q152" s="98"/>
      <c r="R152" s="98"/>
      <c r="S152" s="98"/>
      <c r="T152" s="98"/>
      <c r="U152" s="98"/>
    </row>
    <row r="153" spans="1:21">
      <c r="A153" s="83"/>
      <c r="B153" s="83"/>
      <c r="D153" s="83"/>
      <c r="E153" s="83"/>
      <c r="F153" s="98"/>
      <c r="G153" s="98"/>
      <c r="H153" s="98"/>
      <c r="I153" s="98"/>
      <c r="J153" s="98"/>
      <c r="K153" s="98"/>
      <c r="L153" s="98"/>
      <c r="M153" s="98"/>
      <c r="N153" s="98"/>
      <c r="O153" s="98"/>
      <c r="P153" s="98"/>
      <c r="Q153" s="98"/>
      <c r="R153" s="98"/>
      <c r="S153" s="98"/>
      <c r="T153" s="98"/>
      <c r="U153" s="98"/>
    </row>
    <row r="154" spans="1:21">
      <c r="A154" s="83"/>
      <c r="B154" s="83"/>
      <c r="D154" s="83"/>
      <c r="E154" s="83"/>
      <c r="F154" s="98"/>
      <c r="G154" s="98"/>
      <c r="H154" s="98"/>
      <c r="I154" s="98"/>
      <c r="J154" s="98"/>
      <c r="K154" s="98"/>
      <c r="L154" s="98"/>
      <c r="M154" s="98"/>
      <c r="N154" s="98"/>
      <c r="O154" s="98"/>
      <c r="P154" s="98"/>
      <c r="Q154" s="98"/>
      <c r="R154" s="98"/>
      <c r="S154" s="98"/>
      <c r="T154" s="98"/>
      <c r="U154" s="98"/>
    </row>
    <row r="155" spans="1:21">
      <c r="A155" s="83"/>
      <c r="B155" s="83"/>
      <c r="D155" s="83"/>
      <c r="E155" s="83"/>
      <c r="F155" s="98"/>
      <c r="G155" s="98"/>
      <c r="H155" s="98"/>
      <c r="I155" s="98"/>
      <c r="J155" s="98"/>
      <c r="K155" s="98"/>
      <c r="L155" s="98"/>
      <c r="M155" s="98"/>
      <c r="N155" s="98"/>
      <c r="O155" s="98"/>
      <c r="P155" s="98"/>
      <c r="Q155" s="98"/>
      <c r="R155" s="98"/>
      <c r="S155" s="98"/>
      <c r="T155" s="98"/>
      <c r="U155" s="98"/>
    </row>
    <row r="156" spans="1:21">
      <c r="A156" s="83"/>
      <c r="B156" s="83"/>
      <c r="D156" s="83"/>
      <c r="E156" s="83"/>
      <c r="F156" s="98"/>
      <c r="G156" s="98"/>
      <c r="H156" s="98"/>
      <c r="I156" s="98"/>
      <c r="J156" s="98"/>
      <c r="K156" s="98"/>
      <c r="L156" s="98"/>
      <c r="M156" s="98"/>
      <c r="N156" s="98"/>
      <c r="O156" s="98"/>
      <c r="P156" s="98"/>
      <c r="Q156" s="98"/>
      <c r="R156" s="98"/>
      <c r="S156" s="98"/>
      <c r="T156" s="98"/>
      <c r="U156" s="98"/>
    </row>
    <row r="157" spans="1:21">
      <c r="A157" s="83"/>
      <c r="B157" s="83"/>
      <c r="D157" s="83"/>
      <c r="E157" s="83"/>
      <c r="F157" s="98"/>
      <c r="G157" s="98"/>
      <c r="H157" s="98"/>
      <c r="I157" s="98"/>
      <c r="J157" s="98"/>
      <c r="K157" s="98"/>
      <c r="L157" s="98"/>
      <c r="M157" s="98"/>
      <c r="N157" s="98"/>
      <c r="O157" s="98"/>
      <c r="P157" s="98"/>
      <c r="Q157" s="98"/>
      <c r="R157" s="98"/>
      <c r="S157" s="98"/>
      <c r="T157" s="98"/>
      <c r="U157" s="98"/>
    </row>
    <row r="158" spans="1:21">
      <c r="A158" s="83"/>
      <c r="B158" s="83"/>
      <c r="D158" s="83"/>
      <c r="E158" s="83"/>
      <c r="F158" s="98"/>
      <c r="G158" s="98"/>
      <c r="H158" s="98"/>
      <c r="I158" s="98"/>
      <c r="J158" s="98"/>
      <c r="K158" s="98"/>
      <c r="L158" s="98"/>
      <c r="M158" s="98"/>
      <c r="N158" s="98"/>
      <c r="O158" s="98"/>
      <c r="P158" s="98"/>
      <c r="Q158" s="98"/>
      <c r="R158" s="98"/>
      <c r="S158" s="98"/>
      <c r="T158" s="98"/>
      <c r="U158" s="98"/>
    </row>
    <row r="159" spans="1:21">
      <c r="A159" s="83"/>
      <c r="B159" s="83"/>
      <c r="D159" s="83"/>
      <c r="E159" s="83"/>
      <c r="F159" s="98"/>
      <c r="G159" s="98"/>
      <c r="H159" s="98"/>
      <c r="I159" s="98"/>
      <c r="J159" s="98"/>
      <c r="K159" s="98"/>
      <c r="L159" s="98"/>
      <c r="M159" s="98"/>
      <c r="N159" s="98"/>
      <c r="O159" s="98"/>
      <c r="P159" s="98"/>
      <c r="Q159" s="98"/>
      <c r="R159" s="98"/>
      <c r="S159" s="98"/>
      <c r="T159" s="98"/>
      <c r="U159" s="98"/>
    </row>
    <row r="160" spans="1:21">
      <c r="A160" s="83"/>
      <c r="B160" s="83"/>
      <c r="D160" s="83"/>
      <c r="E160" s="83"/>
      <c r="F160" s="98"/>
      <c r="G160" s="98"/>
      <c r="H160" s="98"/>
      <c r="I160" s="98"/>
      <c r="J160" s="98"/>
      <c r="K160" s="98"/>
      <c r="L160" s="98"/>
      <c r="M160" s="98"/>
      <c r="N160" s="98"/>
      <c r="O160" s="98"/>
      <c r="P160" s="98"/>
      <c r="Q160" s="98"/>
      <c r="R160" s="98"/>
      <c r="S160" s="98"/>
      <c r="T160" s="98"/>
      <c r="U160" s="98"/>
    </row>
    <row r="161" spans="1:21">
      <c r="A161" s="83"/>
      <c r="B161" s="83"/>
      <c r="D161" s="83"/>
      <c r="E161" s="83"/>
      <c r="F161" s="98"/>
      <c r="G161" s="98"/>
      <c r="H161" s="98"/>
      <c r="I161" s="98"/>
      <c r="J161" s="98"/>
      <c r="K161" s="98"/>
      <c r="L161" s="98"/>
      <c r="M161" s="98"/>
      <c r="N161" s="98"/>
      <c r="O161" s="98"/>
      <c r="P161" s="98"/>
      <c r="Q161" s="98"/>
      <c r="R161" s="98"/>
      <c r="S161" s="98"/>
      <c r="T161" s="98"/>
      <c r="U161" s="98"/>
    </row>
    <row r="162" spans="1:21">
      <c r="A162" s="83"/>
      <c r="B162" s="83"/>
      <c r="D162" s="83"/>
      <c r="E162" s="83"/>
      <c r="F162" s="98"/>
      <c r="G162" s="98"/>
      <c r="H162" s="98"/>
      <c r="I162" s="98"/>
      <c r="J162" s="98"/>
      <c r="K162" s="98"/>
      <c r="L162" s="98"/>
      <c r="M162" s="98"/>
      <c r="N162" s="98"/>
      <c r="O162" s="98"/>
      <c r="P162" s="98"/>
      <c r="Q162" s="98"/>
      <c r="R162" s="98"/>
      <c r="S162" s="98"/>
      <c r="T162" s="98"/>
      <c r="U162" s="98"/>
    </row>
    <row r="163" spans="1:21">
      <c r="A163" s="83"/>
      <c r="B163" s="83"/>
      <c r="D163" s="83"/>
      <c r="E163" s="83"/>
      <c r="F163" s="98"/>
      <c r="G163" s="98"/>
      <c r="H163" s="98"/>
      <c r="I163" s="98"/>
      <c r="J163" s="98"/>
      <c r="K163" s="98"/>
      <c r="L163" s="98"/>
      <c r="M163" s="98"/>
      <c r="N163" s="98"/>
      <c r="O163" s="98"/>
      <c r="P163" s="98"/>
      <c r="Q163" s="98"/>
      <c r="R163" s="98"/>
      <c r="S163" s="98"/>
      <c r="T163" s="98"/>
      <c r="U163" s="98"/>
    </row>
    <row r="164" spans="1:21">
      <c r="A164" s="83"/>
      <c r="B164" s="83"/>
      <c r="D164" s="83"/>
      <c r="E164" s="83"/>
      <c r="F164" s="98"/>
      <c r="G164" s="98"/>
      <c r="H164" s="98"/>
      <c r="I164" s="98"/>
      <c r="J164" s="98"/>
      <c r="K164" s="98"/>
      <c r="L164" s="98"/>
      <c r="M164" s="98"/>
      <c r="N164" s="98"/>
      <c r="O164" s="98"/>
      <c r="P164" s="98"/>
      <c r="Q164" s="98"/>
      <c r="R164" s="98"/>
      <c r="S164" s="98"/>
      <c r="T164" s="98"/>
      <c r="U164" s="98"/>
    </row>
    <row r="165" spans="1:21">
      <c r="A165" s="83"/>
      <c r="B165" s="83"/>
      <c r="D165" s="83"/>
      <c r="E165" s="83"/>
      <c r="F165" s="98"/>
      <c r="G165" s="98"/>
      <c r="H165" s="98"/>
      <c r="I165" s="98"/>
      <c r="J165" s="98"/>
      <c r="K165" s="98"/>
      <c r="L165" s="98"/>
      <c r="M165" s="98"/>
      <c r="N165" s="98"/>
      <c r="O165" s="98"/>
      <c r="P165" s="98"/>
      <c r="Q165" s="98"/>
      <c r="R165" s="98"/>
      <c r="S165" s="98"/>
      <c r="T165" s="98"/>
      <c r="U165" s="98"/>
    </row>
    <row r="166" spans="1:21">
      <c r="A166" s="83"/>
      <c r="B166" s="83"/>
      <c r="D166" s="83"/>
      <c r="E166" s="83"/>
      <c r="F166" s="98"/>
      <c r="G166" s="98"/>
      <c r="H166" s="98"/>
      <c r="I166" s="98"/>
      <c r="J166" s="98"/>
      <c r="K166" s="98"/>
      <c r="L166" s="98"/>
      <c r="M166" s="98"/>
      <c r="N166" s="98"/>
      <c r="O166" s="98"/>
      <c r="P166" s="98"/>
      <c r="Q166" s="98"/>
      <c r="R166" s="98"/>
      <c r="S166" s="98"/>
      <c r="T166" s="98"/>
      <c r="U166" s="98"/>
    </row>
    <row r="167" spans="1:21">
      <c r="A167" s="83"/>
      <c r="B167" s="83"/>
      <c r="D167" s="83"/>
      <c r="E167" s="83"/>
      <c r="F167" s="98"/>
      <c r="G167" s="98"/>
      <c r="H167" s="98"/>
      <c r="I167" s="98"/>
      <c r="J167" s="98"/>
      <c r="K167" s="98"/>
      <c r="L167" s="98"/>
      <c r="M167" s="98"/>
      <c r="N167" s="98"/>
      <c r="O167" s="98"/>
      <c r="P167" s="98"/>
      <c r="Q167" s="98"/>
      <c r="R167" s="98"/>
      <c r="S167" s="98"/>
      <c r="T167" s="98"/>
      <c r="U167" s="98"/>
    </row>
    <row r="168" spans="1:21">
      <c r="A168" s="83"/>
      <c r="B168" s="83"/>
      <c r="D168" s="83"/>
      <c r="E168" s="83"/>
      <c r="F168" s="98"/>
      <c r="G168" s="98"/>
      <c r="H168" s="98"/>
      <c r="I168" s="98"/>
      <c r="J168" s="98"/>
      <c r="K168" s="98"/>
      <c r="L168" s="98"/>
      <c r="M168" s="98"/>
      <c r="N168" s="98"/>
      <c r="O168" s="98"/>
      <c r="P168" s="98"/>
      <c r="Q168" s="98"/>
      <c r="R168" s="98"/>
      <c r="S168" s="98"/>
      <c r="T168" s="98"/>
      <c r="U168" s="98"/>
    </row>
    <row r="169" spans="1:21">
      <c r="A169" s="83"/>
      <c r="B169" s="83"/>
      <c r="D169" s="83"/>
      <c r="E169" s="83"/>
      <c r="F169" s="98"/>
      <c r="G169" s="98"/>
      <c r="H169" s="98"/>
      <c r="I169" s="98"/>
      <c r="J169" s="98"/>
      <c r="K169" s="98"/>
      <c r="L169" s="98"/>
      <c r="M169" s="98"/>
      <c r="N169" s="98"/>
      <c r="O169" s="98"/>
      <c r="P169" s="98"/>
      <c r="Q169" s="98"/>
      <c r="R169" s="98"/>
      <c r="S169" s="98"/>
      <c r="T169" s="98"/>
      <c r="U169" s="98"/>
    </row>
    <row r="170" spans="1:21">
      <c r="A170" s="83"/>
      <c r="B170" s="83"/>
      <c r="D170" s="83"/>
      <c r="E170" s="83"/>
      <c r="F170" s="98"/>
      <c r="G170" s="98"/>
      <c r="H170" s="98"/>
      <c r="I170" s="98"/>
      <c r="J170" s="98"/>
      <c r="K170" s="98"/>
      <c r="L170" s="98"/>
      <c r="M170" s="98"/>
      <c r="N170" s="98"/>
      <c r="O170" s="98"/>
      <c r="P170" s="98"/>
      <c r="Q170" s="98"/>
      <c r="R170" s="98"/>
      <c r="S170" s="98"/>
      <c r="T170" s="98"/>
      <c r="U170" s="98"/>
    </row>
    <row r="171" spans="1:21">
      <c r="A171" s="83"/>
      <c r="B171" s="83"/>
      <c r="D171" s="83"/>
      <c r="E171" s="83"/>
      <c r="F171" s="98"/>
      <c r="G171" s="98"/>
      <c r="H171" s="98"/>
      <c r="I171" s="98"/>
      <c r="J171" s="98"/>
      <c r="K171" s="98"/>
      <c r="L171" s="98"/>
      <c r="M171" s="98"/>
      <c r="N171" s="98"/>
      <c r="O171" s="98"/>
      <c r="P171" s="98"/>
      <c r="Q171" s="98"/>
      <c r="R171" s="98"/>
      <c r="S171" s="98"/>
      <c r="T171" s="98"/>
      <c r="U171" s="98"/>
    </row>
    <row r="172" spans="1:21">
      <c r="A172" s="83"/>
      <c r="B172" s="83"/>
      <c r="D172" s="83"/>
      <c r="E172" s="83"/>
      <c r="F172" s="98"/>
      <c r="G172" s="98"/>
      <c r="H172" s="98"/>
      <c r="I172" s="98"/>
      <c r="J172" s="98"/>
      <c r="K172" s="98"/>
      <c r="L172" s="98"/>
      <c r="M172" s="98"/>
      <c r="N172" s="98"/>
      <c r="O172" s="98"/>
      <c r="P172" s="98"/>
      <c r="Q172" s="98"/>
      <c r="R172" s="98"/>
      <c r="S172" s="98"/>
      <c r="T172" s="98"/>
      <c r="U172" s="98"/>
    </row>
    <row r="173" spans="1:21">
      <c r="A173" s="83"/>
      <c r="B173" s="83"/>
      <c r="D173" s="83"/>
      <c r="E173" s="83"/>
      <c r="F173" s="98"/>
      <c r="G173" s="98"/>
      <c r="H173" s="98"/>
      <c r="I173" s="98"/>
      <c r="J173" s="98"/>
      <c r="K173" s="98"/>
      <c r="L173" s="98"/>
      <c r="M173" s="98"/>
      <c r="N173" s="98"/>
      <c r="O173" s="98"/>
      <c r="P173" s="98"/>
      <c r="Q173" s="98"/>
      <c r="R173" s="98"/>
      <c r="S173" s="98"/>
      <c r="T173" s="98"/>
      <c r="U173" s="98"/>
    </row>
    <row r="174" spans="1:21">
      <c r="A174" s="83"/>
      <c r="B174" s="83"/>
      <c r="D174" s="83"/>
      <c r="E174" s="83"/>
      <c r="F174" s="98"/>
      <c r="G174" s="98"/>
      <c r="H174" s="98"/>
      <c r="I174" s="98"/>
      <c r="J174" s="98"/>
      <c r="K174" s="98"/>
      <c r="L174" s="98"/>
      <c r="M174" s="98"/>
      <c r="N174" s="98"/>
      <c r="O174" s="98"/>
      <c r="P174" s="98"/>
      <c r="Q174" s="98"/>
      <c r="R174" s="98"/>
      <c r="S174" s="98"/>
      <c r="T174" s="98"/>
      <c r="U174" s="98"/>
    </row>
    <row r="175" spans="1:21">
      <c r="A175" s="83"/>
      <c r="B175" s="83"/>
      <c r="D175" s="83"/>
      <c r="E175" s="83"/>
      <c r="F175" s="98"/>
      <c r="G175" s="98"/>
      <c r="H175" s="98"/>
      <c r="I175" s="98"/>
      <c r="J175" s="98"/>
      <c r="K175" s="98"/>
      <c r="L175" s="98"/>
      <c r="M175" s="98"/>
      <c r="N175" s="98"/>
      <c r="O175" s="98"/>
      <c r="P175" s="98"/>
      <c r="Q175" s="98"/>
      <c r="R175" s="98"/>
      <c r="S175" s="98"/>
      <c r="T175" s="98"/>
      <c r="U175" s="98"/>
    </row>
    <row r="176" spans="1:21">
      <c r="A176" s="83"/>
      <c r="B176" s="83"/>
      <c r="D176" s="83"/>
      <c r="E176" s="83"/>
      <c r="F176" s="98"/>
      <c r="G176" s="98"/>
      <c r="H176" s="98"/>
      <c r="I176" s="98"/>
      <c r="J176" s="98"/>
      <c r="K176" s="98"/>
      <c r="L176" s="98"/>
      <c r="M176" s="98"/>
      <c r="N176" s="98"/>
      <c r="O176" s="98"/>
      <c r="P176" s="98"/>
      <c r="Q176" s="98"/>
      <c r="R176" s="98"/>
      <c r="S176" s="98"/>
      <c r="T176" s="98"/>
      <c r="U176" s="98"/>
    </row>
    <row r="177" spans="1:21">
      <c r="A177" s="83"/>
      <c r="B177" s="83"/>
      <c r="D177" s="83"/>
      <c r="E177" s="83"/>
      <c r="F177" s="98"/>
      <c r="G177" s="98"/>
      <c r="H177" s="98"/>
      <c r="I177" s="98"/>
      <c r="J177" s="98"/>
      <c r="K177" s="98"/>
      <c r="L177" s="98"/>
      <c r="M177" s="98"/>
      <c r="N177" s="98"/>
      <c r="O177" s="98"/>
      <c r="P177" s="98"/>
      <c r="Q177" s="98"/>
      <c r="R177" s="98"/>
      <c r="S177" s="98"/>
      <c r="T177" s="98"/>
      <c r="U177" s="98"/>
    </row>
    <row r="178" spans="1:21">
      <c r="A178" s="83"/>
      <c r="B178" s="83"/>
      <c r="D178" s="83"/>
      <c r="E178" s="83"/>
      <c r="F178" s="98"/>
      <c r="G178" s="98"/>
      <c r="H178" s="98"/>
      <c r="I178" s="98"/>
      <c r="J178" s="98"/>
      <c r="K178" s="98"/>
      <c r="L178" s="98"/>
      <c r="M178" s="98"/>
      <c r="N178" s="98"/>
      <c r="O178" s="98"/>
      <c r="P178" s="98"/>
      <c r="Q178" s="98"/>
      <c r="R178" s="98"/>
      <c r="S178" s="98"/>
      <c r="T178" s="98"/>
      <c r="U178" s="98"/>
    </row>
    <row r="179" spans="1:21">
      <c r="A179" s="83"/>
      <c r="B179" s="83"/>
      <c r="D179" s="83"/>
      <c r="E179" s="83"/>
      <c r="F179" s="98"/>
      <c r="G179" s="98"/>
      <c r="H179" s="98"/>
      <c r="I179" s="98"/>
      <c r="J179" s="98"/>
      <c r="K179" s="98"/>
      <c r="L179" s="98"/>
      <c r="M179" s="98"/>
      <c r="N179" s="98"/>
      <c r="O179" s="98"/>
      <c r="P179" s="98"/>
      <c r="Q179" s="98"/>
      <c r="R179" s="98"/>
      <c r="S179" s="98"/>
      <c r="T179" s="98"/>
      <c r="U179" s="98"/>
    </row>
    <row r="180" spans="1:21">
      <c r="A180" s="83"/>
      <c r="B180" s="83"/>
      <c r="D180" s="83"/>
      <c r="E180" s="83"/>
      <c r="F180" s="98"/>
      <c r="G180" s="98"/>
      <c r="H180" s="98"/>
      <c r="I180" s="98"/>
      <c r="J180" s="98"/>
      <c r="K180" s="98"/>
      <c r="L180" s="98"/>
      <c r="M180" s="98"/>
      <c r="N180" s="98"/>
      <c r="O180" s="98"/>
      <c r="P180" s="98"/>
      <c r="Q180" s="98"/>
      <c r="R180" s="98"/>
      <c r="S180" s="98"/>
      <c r="T180" s="98"/>
      <c r="U180" s="98"/>
    </row>
    <row r="181" spans="1:21">
      <c r="A181" s="83"/>
      <c r="B181" s="83"/>
      <c r="D181" s="83"/>
      <c r="E181" s="83"/>
      <c r="F181" s="98"/>
      <c r="G181" s="98"/>
      <c r="H181" s="98"/>
      <c r="I181" s="98"/>
      <c r="J181" s="98"/>
      <c r="K181" s="98"/>
      <c r="L181" s="98"/>
      <c r="M181" s="98"/>
      <c r="N181" s="98"/>
      <c r="O181" s="98"/>
      <c r="P181" s="98"/>
      <c r="Q181" s="98"/>
      <c r="R181" s="98"/>
      <c r="S181" s="98"/>
      <c r="T181" s="98"/>
      <c r="U181" s="98"/>
    </row>
    <row r="182" spans="1:21">
      <c r="A182" s="83"/>
      <c r="B182" s="83"/>
      <c r="D182" s="83"/>
      <c r="E182" s="83"/>
      <c r="F182" s="98"/>
      <c r="G182" s="98"/>
      <c r="H182" s="98"/>
      <c r="I182" s="98"/>
      <c r="J182" s="98"/>
      <c r="K182" s="98"/>
      <c r="L182" s="98"/>
      <c r="M182" s="98"/>
      <c r="N182" s="98"/>
      <c r="O182" s="98"/>
      <c r="P182" s="98"/>
      <c r="Q182" s="98"/>
      <c r="R182" s="98"/>
      <c r="S182" s="98"/>
      <c r="T182" s="98"/>
      <c r="U182" s="98"/>
    </row>
    <row r="183" spans="1:21">
      <c r="A183" s="83"/>
      <c r="B183" s="83"/>
      <c r="D183" s="83"/>
      <c r="E183" s="83"/>
      <c r="F183" s="98"/>
      <c r="G183" s="98"/>
      <c r="H183" s="98"/>
      <c r="I183" s="98"/>
      <c r="J183" s="98"/>
      <c r="K183" s="98"/>
      <c r="L183" s="98"/>
      <c r="M183" s="98"/>
      <c r="N183" s="98"/>
      <c r="O183" s="98"/>
      <c r="P183" s="98"/>
      <c r="Q183" s="98"/>
      <c r="R183" s="98"/>
      <c r="S183" s="98"/>
      <c r="T183" s="98"/>
      <c r="U183" s="98"/>
    </row>
    <row r="184" spans="1:21">
      <c r="A184" s="83"/>
      <c r="B184" s="83"/>
      <c r="D184" s="83"/>
      <c r="E184" s="83"/>
      <c r="F184" s="98"/>
      <c r="G184" s="98"/>
      <c r="H184" s="98"/>
      <c r="I184" s="98"/>
      <c r="J184" s="98"/>
      <c r="K184" s="98"/>
      <c r="L184" s="98"/>
      <c r="M184" s="98"/>
      <c r="N184" s="98"/>
      <c r="O184" s="98"/>
      <c r="P184" s="98"/>
      <c r="Q184" s="98"/>
      <c r="R184" s="98"/>
      <c r="S184" s="98"/>
      <c r="T184" s="98"/>
      <c r="U184" s="98"/>
    </row>
    <row r="185" spans="1:21">
      <c r="A185" s="83"/>
      <c r="B185" s="83"/>
      <c r="D185" s="83"/>
      <c r="E185" s="83"/>
      <c r="F185" s="98"/>
      <c r="G185" s="98"/>
      <c r="H185" s="98"/>
      <c r="I185" s="98"/>
      <c r="J185" s="98"/>
      <c r="K185" s="98"/>
      <c r="L185" s="98"/>
      <c r="M185" s="98"/>
      <c r="N185" s="98"/>
      <c r="O185" s="98"/>
      <c r="P185" s="98"/>
      <c r="Q185" s="98"/>
      <c r="R185" s="98"/>
      <c r="S185" s="98"/>
      <c r="T185" s="98"/>
      <c r="U185" s="98"/>
    </row>
    <row r="186" spans="1:21">
      <c r="A186" s="83"/>
      <c r="B186" s="83"/>
      <c r="D186" s="83"/>
      <c r="E186" s="83"/>
      <c r="F186" s="98"/>
      <c r="G186" s="98"/>
      <c r="H186" s="98"/>
      <c r="I186" s="98"/>
      <c r="J186" s="98"/>
      <c r="K186" s="98"/>
      <c r="L186" s="98"/>
      <c r="M186" s="98"/>
      <c r="N186" s="98"/>
      <c r="O186" s="98"/>
      <c r="P186" s="98"/>
      <c r="Q186" s="98"/>
      <c r="R186" s="98"/>
      <c r="S186" s="98"/>
      <c r="T186" s="98"/>
      <c r="U186" s="98"/>
    </row>
    <row r="187" spans="1:21">
      <c r="A187" s="83"/>
      <c r="B187" s="83"/>
      <c r="D187" s="83"/>
      <c r="E187" s="83"/>
      <c r="F187" s="98"/>
      <c r="G187" s="98"/>
      <c r="H187" s="98"/>
      <c r="I187" s="98"/>
      <c r="J187" s="98"/>
      <c r="K187" s="98"/>
      <c r="L187" s="98"/>
      <c r="M187" s="98"/>
      <c r="N187" s="98"/>
      <c r="O187" s="98"/>
      <c r="P187" s="98"/>
      <c r="Q187" s="98"/>
      <c r="R187" s="98"/>
      <c r="S187" s="98"/>
      <c r="T187" s="98"/>
      <c r="U187" s="98"/>
    </row>
    <row r="188" spans="1:21">
      <c r="A188" s="83"/>
      <c r="B188" s="83"/>
      <c r="D188" s="83"/>
      <c r="E188" s="83"/>
      <c r="F188" s="98"/>
      <c r="G188" s="98"/>
      <c r="H188" s="98"/>
      <c r="I188" s="98"/>
      <c r="J188" s="98"/>
      <c r="K188" s="98"/>
      <c r="L188" s="98"/>
      <c r="M188" s="98"/>
      <c r="N188" s="98"/>
      <c r="O188" s="98"/>
      <c r="P188" s="98"/>
      <c r="Q188" s="98"/>
      <c r="R188" s="98"/>
      <c r="S188" s="98"/>
      <c r="T188" s="98"/>
      <c r="U188" s="98"/>
    </row>
    <row r="189" spans="1:21">
      <c r="A189" s="83"/>
      <c r="B189" s="83"/>
      <c r="D189" s="83"/>
      <c r="E189" s="83"/>
      <c r="F189" s="98"/>
      <c r="G189" s="98"/>
      <c r="H189" s="98"/>
      <c r="I189" s="98"/>
      <c r="J189" s="98"/>
      <c r="K189" s="98"/>
      <c r="L189" s="98"/>
      <c r="M189" s="98"/>
      <c r="N189" s="98"/>
      <c r="O189" s="98"/>
      <c r="P189" s="98"/>
      <c r="Q189" s="98"/>
      <c r="R189" s="98"/>
      <c r="S189" s="98"/>
      <c r="T189" s="98"/>
      <c r="U189" s="98"/>
    </row>
    <row r="190" spans="1:21">
      <c r="A190" s="83"/>
      <c r="B190" s="83"/>
      <c r="D190" s="83"/>
      <c r="E190" s="83"/>
      <c r="F190" s="98"/>
      <c r="G190" s="98"/>
      <c r="H190" s="98"/>
      <c r="I190" s="98"/>
      <c r="J190" s="98"/>
      <c r="K190" s="98"/>
      <c r="L190" s="98"/>
      <c r="M190" s="98"/>
      <c r="N190" s="98"/>
      <c r="O190" s="98"/>
      <c r="P190" s="98"/>
      <c r="Q190" s="98"/>
      <c r="R190" s="98"/>
      <c r="S190" s="98"/>
      <c r="T190" s="98"/>
      <c r="U190" s="98"/>
    </row>
    <row r="191" spans="1:21">
      <c r="A191" s="83"/>
      <c r="B191" s="83"/>
      <c r="D191" s="83"/>
      <c r="E191" s="83"/>
      <c r="F191" s="98"/>
      <c r="G191" s="98"/>
      <c r="H191" s="98"/>
      <c r="I191" s="98"/>
      <c r="J191" s="98"/>
      <c r="K191" s="98"/>
      <c r="L191" s="98"/>
      <c r="M191" s="98"/>
      <c r="N191" s="98"/>
      <c r="O191" s="98"/>
      <c r="P191" s="98"/>
      <c r="Q191" s="98"/>
      <c r="R191" s="98"/>
      <c r="S191" s="98"/>
      <c r="T191" s="98"/>
      <c r="U191" s="98"/>
    </row>
    <row r="192" spans="1:21">
      <c r="A192" s="83"/>
      <c r="B192" s="83"/>
      <c r="D192" s="83"/>
      <c r="E192" s="83"/>
      <c r="F192" s="98"/>
      <c r="G192" s="98"/>
      <c r="H192" s="98"/>
      <c r="I192" s="98"/>
      <c r="J192" s="98"/>
      <c r="K192" s="98"/>
      <c r="L192" s="98"/>
      <c r="M192" s="98"/>
      <c r="N192" s="98"/>
      <c r="O192" s="98"/>
      <c r="P192" s="98"/>
      <c r="Q192" s="98"/>
      <c r="R192" s="98"/>
      <c r="S192" s="98"/>
      <c r="T192" s="98"/>
      <c r="U192" s="98"/>
    </row>
    <row r="193" spans="1:21">
      <c r="A193" s="83"/>
      <c r="B193" s="83"/>
      <c r="D193" s="83"/>
      <c r="E193" s="83"/>
      <c r="F193" s="98"/>
      <c r="G193" s="98"/>
      <c r="H193" s="98"/>
      <c r="I193" s="98"/>
      <c r="J193" s="98"/>
      <c r="K193" s="98"/>
      <c r="L193" s="98"/>
      <c r="M193" s="98"/>
      <c r="N193" s="98"/>
      <c r="O193" s="98"/>
      <c r="P193" s="98"/>
      <c r="Q193" s="98"/>
      <c r="R193" s="98"/>
      <c r="S193" s="98"/>
      <c r="T193" s="98"/>
      <c r="U193" s="98"/>
    </row>
    <row r="194" spans="1:21">
      <c r="A194" s="83"/>
      <c r="B194" s="83"/>
      <c r="D194" s="83"/>
      <c r="E194" s="83"/>
      <c r="F194" s="98"/>
      <c r="G194" s="98"/>
      <c r="H194" s="98"/>
      <c r="I194" s="98"/>
      <c r="J194" s="98"/>
      <c r="K194" s="98"/>
      <c r="L194" s="98"/>
      <c r="M194" s="98"/>
      <c r="N194" s="98"/>
      <c r="O194" s="98"/>
      <c r="P194" s="98"/>
      <c r="Q194" s="98"/>
      <c r="R194" s="98"/>
      <c r="S194" s="98"/>
      <c r="T194" s="98"/>
      <c r="U194" s="98"/>
    </row>
    <row r="195" spans="1:21">
      <c r="A195" s="83"/>
      <c r="B195" s="83"/>
      <c r="D195" s="83"/>
      <c r="E195" s="83"/>
      <c r="F195" s="98"/>
      <c r="G195" s="98"/>
      <c r="H195" s="98"/>
      <c r="I195" s="98"/>
      <c r="J195" s="98"/>
      <c r="K195" s="98"/>
      <c r="L195" s="98"/>
      <c r="M195" s="98"/>
      <c r="N195" s="98"/>
      <c r="O195" s="98"/>
      <c r="P195" s="98"/>
      <c r="Q195" s="98"/>
      <c r="R195" s="98"/>
      <c r="S195" s="98"/>
      <c r="T195" s="98"/>
      <c r="U195" s="98"/>
    </row>
    <row r="196" spans="1:21">
      <c r="A196" s="83"/>
      <c r="B196" s="83"/>
      <c r="D196" s="83"/>
      <c r="E196" s="83"/>
      <c r="F196" s="98"/>
      <c r="G196" s="98"/>
      <c r="H196" s="98"/>
      <c r="I196" s="98"/>
      <c r="J196" s="98"/>
      <c r="K196" s="98"/>
      <c r="L196" s="98"/>
      <c r="M196" s="98"/>
      <c r="N196" s="98"/>
      <c r="O196" s="98"/>
      <c r="P196" s="98"/>
      <c r="Q196" s="98"/>
      <c r="R196" s="98"/>
      <c r="S196" s="98"/>
      <c r="T196" s="98"/>
      <c r="U196" s="98"/>
    </row>
    <row r="197" spans="1:21">
      <c r="A197" s="83"/>
      <c r="B197" s="83"/>
      <c r="D197" s="83"/>
      <c r="E197" s="83"/>
      <c r="F197" s="98"/>
      <c r="G197" s="98"/>
      <c r="H197" s="98"/>
      <c r="I197" s="98"/>
      <c r="J197" s="98"/>
      <c r="K197" s="98"/>
      <c r="L197" s="98"/>
      <c r="M197" s="98"/>
      <c r="N197" s="98"/>
      <c r="O197" s="98"/>
      <c r="P197" s="98"/>
      <c r="Q197" s="98"/>
      <c r="R197" s="98"/>
      <c r="S197" s="98"/>
      <c r="T197" s="98"/>
      <c r="U197" s="98"/>
    </row>
    <row r="198" spans="1:21">
      <c r="A198" s="83"/>
      <c r="B198" s="83"/>
      <c r="D198" s="83"/>
      <c r="E198" s="83"/>
      <c r="F198" s="98"/>
      <c r="G198" s="98"/>
      <c r="H198" s="98"/>
      <c r="I198" s="98"/>
      <c r="J198" s="98"/>
      <c r="K198" s="98"/>
      <c r="L198" s="98"/>
      <c r="M198" s="98"/>
      <c r="N198" s="98"/>
      <c r="O198" s="98"/>
      <c r="P198" s="98"/>
      <c r="Q198" s="98"/>
      <c r="R198" s="98"/>
      <c r="S198" s="98"/>
      <c r="T198" s="98"/>
      <c r="U198" s="98"/>
    </row>
    <row r="199" spans="1:21">
      <c r="A199" s="83"/>
      <c r="B199" s="83"/>
      <c r="D199" s="83"/>
      <c r="E199" s="83"/>
      <c r="F199" s="98"/>
      <c r="G199" s="98"/>
      <c r="H199" s="98"/>
      <c r="I199" s="98"/>
      <c r="J199" s="98"/>
      <c r="K199" s="98"/>
      <c r="L199" s="98"/>
      <c r="M199" s="98"/>
      <c r="N199" s="98"/>
      <c r="O199" s="98"/>
      <c r="P199" s="98"/>
      <c r="Q199" s="98"/>
      <c r="R199" s="98"/>
      <c r="S199" s="98"/>
      <c r="T199" s="98"/>
      <c r="U199" s="98"/>
    </row>
    <row r="200" spans="1:21">
      <c r="A200" s="83"/>
      <c r="B200" s="83"/>
      <c r="D200" s="83"/>
      <c r="E200" s="83"/>
      <c r="F200" s="98"/>
      <c r="G200" s="98"/>
      <c r="H200" s="98"/>
      <c r="I200" s="98"/>
      <c r="J200" s="98"/>
      <c r="K200" s="98"/>
      <c r="L200" s="98"/>
      <c r="M200" s="98"/>
      <c r="N200" s="98"/>
      <c r="O200" s="98"/>
      <c r="P200" s="98"/>
      <c r="Q200" s="98"/>
      <c r="R200" s="98"/>
      <c r="S200" s="98"/>
      <c r="T200" s="98"/>
      <c r="U200" s="98"/>
    </row>
    <row r="201" spans="1:21">
      <c r="A201" s="83"/>
      <c r="B201" s="83"/>
      <c r="D201" s="83"/>
      <c r="E201" s="83"/>
      <c r="F201" s="98"/>
      <c r="G201" s="98"/>
      <c r="H201" s="98"/>
      <c r="I201" s="98"/>
      <c r="J201" s="98"/>
      <c r="K201" s="98"/>
      <c r="L201" s="98"/>
      <c r="M201" s="98"/>
      <c r="N201" s="98"/>
      <c r="O201" s="98"/>
      <c r="P201" s="98"/>
      <c r="Q201" s="98"/>
      <c r="R201" s="98"/>
      <c r="S201" s="98"/>
      <c r="T201" s="98"/>
      <c r="U201" s="98"/>
    </row>
    <row r="202" spans="1:21">
      <c r="A202" s="83"/>
      <c r="B202" s="83"/>
      <c r="D202" s="83"/>
      <c r="E202" s="83"/>
      <c r="F202" s="98"/>
      <c r="G202" s="98"/>
      <c r="H202" s="98"/>
      <c r="I202" s="98"/>
      <c r="J202" s="98"/>
      <c r="K202" s="98"/>
      <c r="L202" s="98"/>
      <c r="M202" s="98"/>
      <c r="N202" s="98"/>
      <c r="O202" s="98"/>
      <c r="P202" s="98"/>
      <c r="Q202" s="98"/>
      <c r="R202" s="98"/>
      <c r="S202" s="98"/>
      <c r="T202" s="98"/>
      <c r="U202" s="98"/>
    </row>
    <row r="203" spans="1:21">
      <c r="A203" s="83"/>
      <c r="B203" s="83"/>
      <c r="D203" s="83"/>
      <c r="E203" s="83"/>
      <c r="F203" s="98"/>
      <c r="G203" s="98"/>
      <c r="H203" s="98"/>
      <c r="I203" s="98"/>
      <c r="J203" s="98"/>
      <c r="K203" s="98"/>
      <c r="L203" s="98"/>
      <c r="M203" s="98"/>
      <c r="N203" s="98"/>
      <c r="O203" s="98"/>
      <c r="P203" s="98"/>
      <c r="Q203" s="98"/>
      <c r="R203" s="98"/>
      <c r="S203" s="98"/>
      <c r="T203" s="98"/>
      <c r="U203" s="98"/>
    </row>
    <row r="204" spans="1:21">
      <c r="A204" s="83"/>
      <c r="B204" s="83"/>
      <c r="D204" s="83"/>
      <c r="E204" s="83"/>
      <c r="J204" s="98"/>
      <c r="K204" s="98"/>
      <c r="L204" s="98"/>
      <c r="M204" s="98"/>
      <c r="N204" s="98"/>
      <c r="O204" s="98"/>
      <c r="P204" s="98"/>
      <c r="Q204" s="98"/>
      <c r="R204" s="98"/>
      <c r="S204" s="98"/>
      <c r="T204" s="98"/>
      <c r="U204" s="98"/>
    </row>
  </sheetData>
  <phoneticPr fontId="19" type="noConversion"/>
  <pageMargins left="0.75" right="0.75" top="1" bottom="1" header="0.5" footer="0.5"/>
  <pageSetup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2:I30"/>
  <sheetViews>
    <sheetView zoomScale="85" zoomScaleNormal="85" workbookViewId="0">
      <selection activeCell="G16" sqref="G16"/>
    </sheetView>
  </sheetViews>
  <sheetFormatPr defaultColWidth="8.7109375" defaultRowHeight="12.75"/>
  <cols>
    <col min="2" max="2" width="28.85546875" bestFit="1" customWidth="1"/>
    <col min="3" max="3" width="20.42578125" bestFit="1" customWidth="1"/>
    <col min="4" max="4" width="12.7109375" bestFit="1" customWidth="1"/>
    <col min="5" max="5" width="11" bestFit="1" customWidth="1"/>
    <col min="6" max="6" width="10.42578125" bestFit="1" customWidth="1"/>
    <col min="7" max="7" width="18.7109375" bestFit="1" customWidth="1"/>
    <col min="8" max="8" width="11.42578125" bestFit="1" customWidth="1"/>
    <col min="9" max="9" width="6.140625" bestFit="1" customWidth="1"/>
  </cols>
  <sheetData>
    <row r="2" spans="2:9">
      <c r="B2" s="70" t="s">
        <v>192</v>
      </c>
      <c r="E2" s="47"/>
    </row>
    <row r="3" spans="2:9">
      <c r="B3" s="110">
        <f>LN(10)*E14*C19*$C$27</f>
        <v>6.9625967105363721E-4</v>
      </c>
      <c r="C3" s="72" t="str">
        <f>model!B6</f>
        <v>HOCl ==&gt; OH + Cl</v>
      </c>
      <c r="D3" s="72"/>
      <c r="E3" s="97"/>
      <c r="F3" s="96"/>
      <c r="G3" s="72"/>
      <c r="H3" s="72"/>
      <c r="I3" s="72"/>
    </row>
    <row r="4" spans="2:9">
      <c r="B4" s="110">
        <f>LN(10)*E15*C20*$C$27</f>
        <v>4.5064131199496935E-4</v>
      </c>
      <c r="C4" s="72" t="str">
        <f>model!B7</f>
        <v>ClO- ==&gt; O- + Cl</v>
      </c>
      <c r="D4" s="72"/>
      <c r="E4" s="97"/>
      <c r="F4" s="72"/>
      <c r="G4" s="72"/>
      <c r="H4" s="72"/>
      <c r="I4" s="72"/>
    </row>
    <row r="5" spans="2:9">
      <c r="D5" s="72"/>
      <c r="E5" s="97"/>
      <c r="F5" s="72"/>
      <c r="G5" s="72"/>
      <c r="H5" s="72"/>
      <c r="I5" s="72"/>
    </row>
    <row r="6" spans="2:9">
      <c r="B6" s="76" t="s">
        <v>255</v>
      </c>
      <c r="D6" s="72"/>
      <c r="E6" s="72"/>
      <c r="F6" s="72"/>
      <c r="G6" s="72"/>
      <c r="H6" s="72"/>
      <c r="I6" s="72"/>
    </row>
    <row r="7" spans="2:9">
      <c r="B7" s="110">
        <f>LN(10)*$E$15*C21*C$27</f>
        <v>1.3318954332295762E-4</v>
      </c>
      <c r="C7" s="72" t="str">
        <f>model!B8</f>
        <v>ClO- ==&gt; Cl- + O(1D)</v>
      </c>
      <c r="D7" s="72"/>
      <c r="E7" s="72"/>
      <c r="F7" s="72"/>
      <c r="G7" s="72"/>
      <c r="H7" s="72"/>
      <c r="I7" s="72"/>
    </row>
    <row r="8" spans="2:9">
      <c r="B8" s="110">
        <f>LN(10)*$E$15*C22*C$27</f>
        <v>7.4105460194728295E-5</v>
      </c>
      <c r="C8" s="72" t="str">
        <f>model!B9</f>
        <v>ClO- ==&gt; Cl- + O(3P)</v>
      </c>
      <c r="D8" s="72"/>
      <c r="E8" s="72"/>
      <c r="F8" s="72"/>
      <c r="G8" s="72"/>
    </row>
    <row r="9" spans="2:9">
      <c r="C9" s="72"/>
      <c r="D9" s="76"/>
      <c r="E9" s="72"/>
      <c r="F9" s="72"/>
      <c r="G9" s="72"/>
    </row>
    <row r="10" spans="2:9">
      <c r="B10" s="82" t="s">
        <v>286</v>
      </c>
      <c r="C10" s="73"/>
    </row>
    <row r="11" spans="2:9">
      <c r="B11" s="110">
        <f>LN(10)*E16*C23*$C$27</f>
        <v>2.9612033643635981E-2</v>
      </c>
      <c r="C11" s="82" t="s">
        <v>287</v>
      </c>
    </row>
    <row r="12" spans="2:9">
      <c r="B12" s="73"/>
      <c r="C12" s="73"/>
      <c r="D12" s="73"/>
      <c r="E12" s="73"/>
      <c r="F12" s="73"/>
    </row>
    <row r="13" spans="2:9">
      <c r="B13" s="70" t="s">
        <v>302</v>
      </c>
    </row>
    <row r="14" spans="2:9">
      <c r="B14" s="73" t="s">
        <v>123</v>
      </c>
      <c r="C14" s="73">
        <v>63.6</v>
      </c>
      <c r="D14" s="73" t="s">
        <v>124</v>
      </c>
      <c r="E14" s="73">
        <f>C14/10^3*10^2</f>
        <v>6.36</v>
      </c>
      <c r="F14" s="73" t="s">
        <v>125</v>
      </c>
    </row>
    <row r="15" spans="2:9">
      <c r="B15" s="73" t="s">
        <v>127</v>
      </c>
      <c r="C15" s="73">
        <v>55.8</v>
      </c>
      <c r="D15" s="73" t="s">
        <v>128</v>
      </c>
      <c r="E15" s="73">
        <f>C15/10^3*10^2</f>
        <v>5.5799999999999992</v>
      </c>
      <c r="F15" s="73" t="s">
        <v>129</v>
      </c>
    </row>
    <row r="16" spans="2:9">
      <c r="B16" s="82" t="s">
        <v>288</v>
      </c>
      <c r="C16" s="73">
        <v>3300</v>
      </c>
      <c r="D16" s="73" t="s">
        <v>124</v>
      </c>
      <c r="E16" s="73">
        <f>C16/10^3*10^2</f>
        <v>330</v>
      </c>
      <c r="F16" s="73" t="s">
        <v>125</v>
      </c>
    </row>
    <row r="18" spans="2:4">
      <c r="B18" s="107" t="s">
        <v>303</v>
      </c>
    </row>
    <row r="19" spans="2:4">
      <c r="B19" s="82" t="s">
        <v>218</v>
      </c>
      <c r="C19" s="93">
        <v>0.61</v>
      </c>
      <c r="D19" s="73" t="s">
        <v>126</v>
      </c>
    </row>
    <row r="20" spans="2:4">
      <c r="B20" s="73" t="s">
        <v>130</v>
      </c>
      <c r="C20" s="94">
        <v>0.45</v>
      </c>
      <c r="D20" s="73" t="s">
        <v>131</v>
      </c>
    </row>
    <row r="21" spans="2:4">
      <c r="B21" s="82" t="s">
        <v>226</v>
      </c>
      <c r="C21" s="73">
        <v>0.13300000000000001</v>
      </c>
      <c r="D21" s="73" t="s">
        <v>126</v>
      </c>
    </row>
    <row r="22" spans="2:4">
      <c r="B22" s="82" t="s">
        <v>227</v>
      </c>
      <c r="C22" s="73">
        <v>7.3999999999999996E-2</v>
      </c>
      <c r="D22" s="73" t="s">
        <v>126</v>
      </c>
    </row>
    <row r="23" spans="2:4">
      <c r="B23" s="82" t="s">
        <v>301</v>
      </c>
      <c r="C23" s="95">
        <v>0.5</v>
      </c>
      <c r="D23" s="73" t="s">
        <v>126</v>
      </c>
    </row>
    <row r="25" spans="2:4">
      <c r="B25" s="107" t="s">
        <v>304</v>
      </c>
    </row>
    <row r="26" spans="2:4">
      <c r="B26" s="82" t="s">
        <v>209</v>
      </c>
      <c r="C26" s="108">
        <v>3.6700000000000001E-3</v>
      </c>
      <c r="D26" s="73" t="s">
        <v>132</v>
      </c>
    </row>
    <row r="27" spans="2:4">
      <c r="C27" s="75">
        <f>C28*10^4</f>
        <v>7.7941471571906366E-5</v>
      </c>
      <c r="D27" s="82" t="s">
        <v>133</v>
      </c>
    </row>
    <row r="28" spans="2:4">
      <c r="C28" s="74">
        <f>C26/$C$30</f>
        <v>7.7941471571906363E-9</v>
      </c>
      <c r="D28" s="73" t="s">
        <v>134</v>
      </c>
    </row>
    <row r="29" spans="2:4">
      <c r="B29" s="70" t="s">
        <v>305</v>
      </c>
    </row>
    <row r="30" spans="2:4">
      <c r="B30" s="109" t="s">
        <v>121</v>
      </c>
      <c r="C30" s="73">
        <f>0.1196/254/10^-9</f>
        <v>470866.14173228346</v>
      </c>
      <c r="D30" s="73" t="s">
        <v>122</v>
      </c>
    </row>
  </sheetData>
  <phoneticPr fontId="1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F19"/>
  <sheetViews>
    <sheetView workbookViewId="0">
      <selection activeCell="G18" sqref="G18"/>
    </sheetView>
  </sheetViews>
  <sheetFormatPr defaultColWidth="8.7109375" defaultRowHeight="12.75"/>
  <cols>
    <col min="1" max="1" width="25.140625" customWidth="1"/>
    <col min="2" max="2" width="22.7109375" style="1" customWidth="1"/>
    <col min="3" max="3" width="22.28515625" style="1" customWidth="1"/>
    <col min="4" max="4" width="38.42578125" style="1" customWidth="1"/>
    <col min="5" max="5" width="15.7109375" style="1" customWidth="1"/>
    <col min="6" max="6" width="8.7109375" style="1" customWidth="1"/>
  </cols>
  <sheetData>
    <row r="1" spans="1:6" s="6" customFormat="1" ht="24" thickBot="1">
      <c r="A1" s="24" t="s">
        <v>3</v>
      </c>
      <c r="B1" s="25" t="s">
        <v>18</v>
      </c>
      <c r="C1" s="26"/>
      <c r="D1" s="26"/>
      <c r="E1" s="27"/>
      <c r="F1" s="5"/>
    </row>
    <row r="2" spans="1:6" s="6" customFormat="1">
      <c r="A2" s="17" t="s">
        <v>39</v>
      </c>
      <c r="B2" s="9"/>
      <c r="C2" s="9"/>
      <c r="D2" s="9"/>
      <c r="E2" s="18"/>
      <c r="F2" s="5"/>
    </row>
    <row r="3" spans="1:6" s="6" customFormat="1" ht="13.5" thickBot="1">
      <c r="A3" s="17" t="s">
        <v>3</v>
      </c>
      <c r="B3" s="9"/>
      <c r="C3" s="9"/>
      <c r="D3" s="9"/>
      <c r="E3" s="18"/>
      <c r="F3" s="5"/>
    </row>
    <row r="4" spans="1:6" s="6" customFormat="1" ht="13.5" thickBot="1">
      <c r="A4" s="19" t="s">
        <v>95</v>
      </c>
      <c r="B4" s="20" t="s">
        <v>43</v>
      </c>
      <c r="C4" s="20" t="s">
        <v>19</v>
      </c>
      <c r="D4" s="20" t="s">
        <v>20</v>
      </c>
      <c r="E4" s="39" t="s">
        <v>21</v>
      </c>
      <c r="F4" s="5"/>
    </row>
    <row r="5" spans="1:6" ht="13.5" thickBot="1">
      <c r="A5" s="32">
        <v>9.9999999999999995E-7</v>
      </c>
      <c r="B5" s="33">
        <v>1</v>
      </c>
      <c r="C5" s="34" t="s">
        <v>91</v>
      </c>
      <c r="D5" s="34" t="s">
        <v>0</v>
      </c>
      <c r="E5" s="40">
        <v>0</v>
      </c>
    </row>
    <row r="6" spans="1:6" ht="13.5" thickBot="1">
      <c r="A6" s="8" t="s">
        <v>3</v>
      </c>
      <c r="B6" s="10"/>
      <c r="C6" s="10"/>
      <c r="D6" s="10" t="s">
        <v>101</v>
      </c>
      <c r="E6" s="12"/>
    </row>
    <row r="7" spans="1:6" ht="13.5" thickBot="1">
      <c r="A7" s="36" t="s">
        <v>22</v>
      </c>
      <c r="B7" s="37" t="s">
        <v>23</v>
      </c>
      <c r="C7" s="37" t="s">
        <v>24</v>
      </c>
      <c r="D7" s="37" t="s">
        <v>102</v>
      </c>
      <c r="E7" s="39" t="s">
        <v>21</v>
      </c>
    </row>
    <row r="8" spans="1:6" ht="13.5" thickBot="1">
      <c r="A8" s="35">
        <v>298</v>
      </c>
      <c r="B8" s="34" t="s">
        <v>1</v>
      </c>
      <c r="C8" s="34" t="s">
        <v>2</v>
      </c>
      <c r="D8" s="34" t="s">
        <v>103</v>
      </c>
      <c r="E8" s="40">
        <v>0</v>
      </c>
    </row>
    <row r="9" spans="1:6">
      <c r="A9" s="8" t="s">
        <v>25</v>
      </c>
      <c r="B9" s="10"/>
      <c r="C9" s="10"/>
      <c r="D9" s="10"/>
      <c r="E9" s="12"/>
    </row>
    <row r="10" spans="1:6" ht="13.5" thickBot="1">
      <c r="A10" s="13" t="s">
        <v>26</v>
      </c>
      <c r="B10" s="14" t="s">
        <v>27</v>
      </c>
      <c r="C10" s="14" t="s">
        <v>28</v>
      </c>
      <c r="D10" s="14" t="s">
        <v>29</v>
      </c>
      <c r="E10" s="16" t="s">
        <v>30</v>
      </c>
    </row>
    <row r="11" spans="1:6" ht="13.5" thickBot="1">
      <c r="A11" s="35">
        <v>0</v>
      </c>
      <c r="B11" s="34">
        <v>0</v>
      </c>
      <c r="C11" s="34">
        <v>0</v>
      </c>
      <c r="D11" s="34">
        <v>545</v>
      </c>
      <c r="E11" s="34">
        <v>0</v>
      </c>
    </row>
    <row r="12" spans="1:6" ht="13.5" thickBot="1">
      <c r="A12" s="8" t="s">
        <v>3</v>
      </c>
      <c r="B12" s="44" t="s">
        <v>31</v>
      </c>
      <c r="C12" s="44"/>
      <c r="D12" s="10"/>
      <c r="E12" s="12"/>
    </row>
    <row r="13" spans="1:6" ht="13.5" thickBot="1">
      <c r="A13" s="13" t="s">
        <v>32</v>
      </c>
      <c r="B13" s="45" t="s">
        <v>33</v>
      </c>
      <c r="C13" s="45" t="s">
        <v>34</v>
      </c>
      <c r="D13" s="14" t="s">
        <v>35</v>
      </c>
      <c r="E13" s="39" t="s">
        <v>21</v>
      </c>
    </row>
    <row r="14" spans="1:6" ht="13.5" thickBot="1">
      <c r="A14" s="35" t="s">
        <v>36</v>
      </c>
      <c r="B14" s="34">
        <v>1</v>
      </c>
      <c r="C14" s="34">
        <v>0</v>
      </c>
      <c r="D14" s="33">
        <v>1E-8</v>
      </c>
      <c r="E14" s="40">
        <v>0</v>
      </c>
    </row>
    <row r="15" spans="1:6" ht="13.5" thickBot="1">
      <c r="A15" s="8" t="s">
        <v>42</v>
      </c>
      <c r="B15" s="10"/>
      <c r="C15" s="10"/>
      <c r="D15" s="10"/>
      <c r="E15" s="12"/>
    </row>
    <row r="16" spans="1:6" ht="26.25" thickBot="1">
      <c r="A16" s="66" t="s">
        <v>106</v>
      </c>
      <c r="B16" s="39" t="s">
        <v>21</v>
      </c>
      <c r="C16" s="39" t="s">
        <v>21</v>
      </c>
      <c r="D16" s="39" t="s">
        <v>21</v>
      </c>
      <c r="E16" s="39" t="s">
        <v>21</v>
      </c>
    </row>
    <row r="17" spans="1:6" ht="13.5" thickBot="1">
      <c r="A17" s="67">
        <v>0</v>
      </c>
      <c r="B17" s="41">
        <v>0</v>
      </c>
      <c r="C17" s="41">
        <v>0</v>
      </c>
      <c r="D17" s="41">
        <v>0</v>
      </c>
      <c r="E17" s="42">
        <v>0</v>
      </c>
      <c r="F17" s="38"/>
    </row>
    <row r="18" spans="1:6">
      <c r="A18" t="s">
        <v>3</v>
      </c>
    </row>
    <row r="19" spans="1:6">
      <c r="A19" s="4" t="s">
        <v>4</v>
      </c>
    </row>
  </sheetData>
  <phoneticPr fontId="0" type="noConversion"/>
  <pageMargins left="0.75" right="0.75" top="1" bottom="1" header="0.5" footer="0.5"/>
  <headerFooter alignWithMargins="0"/>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F70"/>
  <sheetViews>
    <sheetView workbookViewId="0">
      <selection activeCell="G18" sqref="G18"/>
    </sheetView>
  </sheetViews>
  <sheetFormatPr defaultColWidth="8.7109375" defaultRowHeight="12.75"/>
  <sheetData>
    <row r="1" spans="1:6" ht="13.5" thickBot="1">
      <c r="A1" s="56" t="s">
        <v>46</v>
      </c>
      <c r="B1" s="56" t="s">
        <v>62</v>
      </c>
      <c r="C1" s="56" t="s">
        <v>63</v>
      </c>
      <c r="D1" s="56" t="s">
        <v>64</v>
      </c>
      <c r="E1" s="56" t="s">
        <v>65</v>
      </c>
      <c r="F1" s="55"/>
    </row>
    <row r="2" spans="1:6">
      <c r="A2" s="48" t="s">
        <v>3</v>
      </c>
      <c r="B2" s="48"/>
      <c r="C2" s="48"/>
    </row>
    <row r="3" spans="1:6">
      <c r="A3" t="s">
        <v>47</v>
      </c>
    </row>
    <row r="4" spans="1:6">
      <c r="A4" t="s">
        <v>48</v>
      </c>
    </row>
    <row r="5" spans="1:6">
      <c r="A5" t="s">
        <v>49</v>
      </c>
    </row>
    <row r="6" spans="1:6">
      <c r="A6" t="s">
        <v>50</v>
      </c>
    </row>
    <row r="7" spans="1:6">
      <c r="A7" t="s">
        <v>51</v>
      </c>
    </row>
    <row r="8" spans="1:6">
      <c r="A8" t="s">
        <v>3</v>
      </c>
    </row>
    <row r="9" spans="1:6">
      <c r="A9" s="47"/>
      <c r="B9" s="47"/>
      <c r="C9" s="47"/>
      <c r="D9" s="47"/>
      <c r="E9" s="47"/>
    </row>
    <row r="10" spans="1:6">
      <c r="A10" s="47"/>
      <c r="B10" s="47"/>
      <c r="C10" s="47"/>
      <c r="D10" s="47"/>
      <c r="E10" s="47"/>
    </row>
    <row r="11" spans="1:6">
      <c r="A11" s="47"/>
      <c r="B11" s="47"/>
      <c r="C11" s="47"/>
      <c r="D11" s="47"/>
      <c r="E11" s="47"/>
    </row>
    <row r="12" spans="1:6">
      <c r="A12" s="47"/>
      <c r="B12" s="47"/>
      <c r="C12" s="47"/>
      <c r="D12" s="47"/>
      <c r="E12" s="47"/>
    </row>
    <row r="13" spans="1:6">
      <c r="A13" s="47"/>
      <c r="B13" s="47"/>
      <c r="C13" s="47"/>
      <c r="D13" s="47"/>
      <c r="E13" s="47"/>
    </row>
    <row r="14" spans="1:6">
      <c r="A14" s="47"/>
      <c r="B14" s="47"/>
      <c r="C14" s="47"/>
      <c r="D14" s="47"/>
      <c r="E14" s="47"/>
    </row>
    <row r="15" spans="1:6">
      <c r="A15" s="47"/>
      <c r="B15" s="47"/>
      <c r="C15" s="47"/>
      <c r="D15" s="47"/>
      <c r="E15" s="47"/>
    </row>
    <row r="16" spans="1:6">
      <c r="A16" s="47"/>
      <c r="D16" s="47"/>
      <c r="E16" s="47"/>
    </row>
    <row r="17" spans="1:5">
      <c r="A17" s="47"/>
      <c r="D17" s="47"/>
    </row>
    <row r="18" spans="1:5">
      <c r="A18" s="47"/>
      <c r="D18" s="47"/>
    </row>
    <row r="19" spans="1:5">
      <c r="A19" s="47"/>
      <c r="D19" s="47"/>
    </row>
    <row r="20" spans="1:5">
      <c r="A20" s="47"/>
      <c r="B20" s="47"/>
      <c r="D20" s="47"/>
    </row>
    <row r="21" spans="1:5">
      <c r="A21" s="47"/>
      <c r="B21" s="47"/>
      <c r="C21" s="47"/>
      <c r="D21" s="47"/>
    </row>
    <row r="22" spans="1:5">
      <c r="A22" s="47"/>
      <c r="B22" s="47"/>
      <c r="C22" s="47"/>
      <c r="D22" s="47"/>
    </row>
    <row r="23" spans="1:5">
      <c r="A23" s="47"/>
      <c r="B23" s="47"/>
      <c r="C23" s="47"/>
      <c r="D23" s="47"/>
    </row>
    <row r="24" spans="1:5">
      <c r="A24" s="47"/>
      <c r="B24" s="47"/>
      <c r="C24" s="47"/>
      <c r="D24" s="47"/>
    </row>
    <row r="25" spans="1:5">
      <c r="A25" s="47"/>
      <c r="B25" s="47"/>
      <c r="C25" s="47"/>
      <c r="D25" s="47"/>
    </row>
    <row r="26" spans="1:5">
      <c r="A26" s="47"/>
      <c r="B26" s="47"/>
      <c r="C26" s="47"/>
      <c r="D26" s="47"/>
    </row>
    <row r="27" spans="1:5">
      <c r="A27" s="47"/>
      <c r="B27" s="47"/>
      <c r="C27" s="47"/>
      <c r="D27" s="47"/>
    </row>
    <row r="28" spans="1:5">
      <c r="A28" s="47"/>
      <c r="B28" s="47"/>
      <c r="C28" s="47"/>
      <c r="D28" s="47"/>
    </row>
    <row r="29" spans="1:5">
      <c r="A29" s="47"/>
      <c r="B29" s="47"/>
      <c r="C29" s="47"/>
    </row>
    <row r="30" spans="1:5">
      <c r="A30" s="47"/>
      <c r="B30" s="47"/>
      <c r="C30" s="47"/>
    </row>
    <row r="31" spans="1:5">
      <c r="A31" s="47"/>
      <c r="B31" s="47"/>
      <c r="C31" s="47"/>
      <c r="E31" s="47"/>
    </row>
    <row r="32" spans="1:5">
      <c r="A32" s="47"/>
      <c r="B32" s="47"/>
      <c r="C32" s="47"/>
      <c r="E32" s="47"/>
    </row>
    <row r="33" spans="1:5">
      <c r="A33" s="47"/>
      <c r="B33" s="47"/>
      <c r="C33" s="47"/>
      <c r="E33" s="47"/>
    </row>
    <row r="34" spans="1:5">
      <c r="A34" s="47"/>
      <c r="B34" s="47"/>
      <c r="C34" s="47"/>
      <c r="E34" s="47"/>
    </row>
    <row r="35" spans="1:5">
      <c r="A35" s="47"/>
      <c r="B35" s="47"/>
      <c r="C35" s="47"/>
      <c r="E35" s="47"/>
    </row>
    <row r="36" spans="1:5">
      <c r="A36" s="47"/>
      <c r="B36" s="47"/>
      <c r="C36" s="47"/>
      <c r="E36" s="47"/>
    </row>
    <row r="37" spans="1:5">
      <c r="A37" s="47"/>
      <c r="B37" s="47"/>
      <c r="C37" s="47"/>
      <c r="E37" s="47"/>
    </row>
    <row r="38" spans="1:5">
      <c r="A38" s="47"/>
      <c r="B38" s="47"/>
      <c r="C38" s="47"/>
      <c r="E38" s="47"/>
    </row>
    <row r="39" spans="1:5">
      <c r="A39" s="47"/>
      <c r="B39" s="47"/>
      <c r="C39" s="47"/>
      <c r="E39" s="47"/>
    </row>
    <row r="40" spans="1:5">
      <c r="A40" s="47"/>
      <c r="B40" s="47"/>
      <c r="C40" s="47"/>
      <c r="E40" s="47"/>
    </row>
    <row r="41" spans="1:5">
      <c r="A41" s="47"/>
      <c r="B41" s="47"/>
      <c r="C41" s="47"/>
      <c r="E41" s="47"/>
    </row>
    <row r="42" spans="1:5">
      <c r="A42" s="47"/>
      <c r="B42" s="47"/>
      <c r="C42" s="47"/>
      <c r="E42" s="47"/>
    </row>
    <row r="43" spans="1:5">
      <c r="A43" s="47"/>
      <c r="B43" s="47"/>
      <c r="C43" s="47"/>
      <c r="E43" s="47"/>
    </row>
    <row r="44" spans="1:5">
      <c r="A44" s="47"/>
      <c r="B44" s="47"/>
      <c r="C44" s="47"/>
      <c r="E44" s="47"/>
    </row>
    <row r="45" spans="1:5">
      <c r="A45" s="47"/>
      <c r="B45" s="47"/>
      <c r="C45" s="47"/>
      <c r="E45" s="47"/>
    </row>
    <row r="46" spans="1:5">
      <c r="A46" s="47"/>
      <c r="B46" s="47"/>
      <c r="C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row>
    <row r="53" spans="1:5">
      <c r="A53" s="47"/>
      <c r="B53" s="47"/>
      <c r="C53" s="47"/>
      <c r="D53" s="47"/>
    </row>
    <row r="54" spans="1:5">
      <c r="A54" s="47"/>
      <c r="B54" s="47"/>
      <c r="C54" s="47"/>
      <c r="D54" s="47"/>
    </row>
    <row r="55" spans="1:5">
      <c r="A55" s="47"/>
      <c r="B55" s="47"/>
      <c r="C55" s="47"/>
      <c r="D55" s="47"/>
    </row>
    <row r="56" spans="1:5">
      <c r="A56" s="47"/>
      <c r="B56" s="47"/>
      <c r="C56" s="47"/>
      <c r="D56" s="47"/>
    </row>
    <row r="57" spans="1:5">
      <c r="A57" s="47"/>
      <c r="B57" s="47"/>
      <c r="C57" s="47"/>
      <c r="D57" s="47"/>
    </row>
    <row r="58" spans="1:5">
      <c r="A58" s="47"/>
      <c r="B58" s="47"/>
      <c r="C58" s="47"/>
      <c r="D58" s="47"/>
    </row>
    <row r="59" spans="1:5">
      <c r="A59" s="47"/>
      <c r="B59" s="47"/>
      <c r="C59" s="47"/>
      <c r="D59" s="47"/>
    </row>
    <row r="60" spans="1:5">
      <c r="A60" s="47"/>
      <c r="B60" s="47"/>
      <c r="C60" s="47"/>
      <c r="D60" s="47"/>
    </row>
    <row r="61" spans="1:5">
      <c r="A61" s="47"/>
      <c r="B61" s="47"/>
      <c r="C61" s="47"/>
      <c r="D61" s="47"/>
    </row>
    <row r="62" spans="1:5">
      <c r="A62" s="47"/>
      <c r="B62" s="47"/>
      <c r="C62" s="47"/>
      <c r="D62" s="47"/>
    </row>
    <row r="63" spans="1:5">
      <c r="A63" s="47"/>
      <c r="B63" s="47"/>
      <c r="C63" s="47"/>
      <c r="D63" s="47"/>
    </row>
    <row r="64" spans="1:5">
      <c r="A64" s="47"/>
      <c r="B64" s="47"/>
      <c r="C64" s="47"/>
      <c r="D64" s="47"/>
    </row>
    <row r="65" spans="1:5">
      <c r="A65" s="47"/>
      <c r="B65" s="47"/>
      <c r="D65" s="47"/>
    </row>
    <row r="66" spans="1:5">
      <c r="A66" s="47"/>
      <c r="B66" s="47"/>
      <c r="D66" s="47"/>
    </row>
    <row r="67" spans="1:5">
      <c r="A67" s="47"/>
      <c r="B67" s="47"/>
      <c r="C67" s="47"/>
      <c r="D67" s="47"/>
    </row>
    <row r="68" spans="1:5">
      <c r="A68" s="47"/>
      <c r="B68" s="47"/>
      <c r="C68" s="47"/>
      <c r="D68" s="47"/>
      <c r="E68" s="47"/>
    </row>
    <row r="69" spans="1:5">
      <c r="A69" s="47"/>
      <c r="B69" s="47"/>
      <c r="C69" s="47"/>
      <c r="D69" s="47"/>
      <c r="E69" s="47"/>
    </row>
    <row r="70" spans="1:5">
      <c r="A70" s="47"/>
      <c r="B70" s="47"/>
      <c r="D70" s="47"/>
      <c r="E70" s="47"/>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G10"/>
  <sheetViews>
    <sheetView zoomScale="75" workbookViewId="0">
      <selection activeCell="C53" sqref="C53"/>
    </sheetView>
  </sheetViews>
  <sheetFormatPr defaultColWidth="8.7109375" defaultRowHeight="12.75"/>
  <cols>
    <col min="1" max="1" width="17.7109375" customWidth="1"/>
    <col min="2" max="2" width="76.7109375" style="1" customWidth="1"/>
    <col min="3" max="3" width="47.42578125" style="1" customWidth="1"/>
    <col min="4" max="4" width="43.7109375" style="1" customWidth="1"/>
    <col min="5" max="5" width="16.42578125" style="1" customWidth="1"/>
  </cols>
  <sheetData>
    <row r="1" spans="1:7" ht="26.25">
      <c r="A1" s="57" t="s">
        <v>3</v>
      </c>
      <c r="B1" s="58" t="s">
        <v>66</v>
      </c>
      <c r="C1" s="59"/>
      <c r="D1" s="59"/>
      <c r="E1" s="60"/>
    </row>
    <row r="2" spans="1:7">
      <c r="A2" s="17" t="s">
        <v>67</v>
      </c>
      <c r="B2" s="9" t="s">
        <v>17</v>
      </c>
      <c r="C2" s="9"/>
      <c r="D2" s="9" t="s">
        <v>68</v>
      </c>
      <c r="E2" s="61" t="s">
        <v>69</v>
      </c>
    </row>
    <row r="3" spans="1:7" ht="13.5" thickBot="1">
      <c r="A3" s="13" t="s">
        <v>70</v>
      </c>
      <c r="B3" s="14" t="s">
        <v>71</v>
      </c>
      <c r="C3" s="14" t="s">
        <v>72</v>
      </c>
      <c r="D3" s="14" t="s">
        <v>73</v>
      </c>
      <c r="E3" s="62" t="s">
        <v>74</v>
      </c>
    </row>
    <row r="4" spans="1:7">
      <c r="A4" t="s">
        <v>78</v>
      </c>
      <c r="B4" s="63" t="s">
        <v>79</v>
      </c>
      <c r="C4" s="63" t="s">
        <v>80</v>
      </c>
      <c r="D4" s="1" t="s">
        <v>96</v>
      </c>
    </row>
    <row r="5" spans="1:7">
      <c r="A5" t="s">
        <v>90</v>
      </c>
      <c r="B5" s="63" t="s">
        <v>82</v>
      </c>
      <c r="C5" s="63" t="s">
        <v>89</v>
      </c>
      <c r="D5" s="1" t="s">
        <v>97</v>
      </c>
    </row>
    <row r="6" spans="1:7">
      <c r="A6" t="s">
        <v>75</v>
      </c>
      <c r="B6" s="63" t="s">
        <v>76</v>
      </c>
      <c r="C6" s="63" t="s">
        <v>77</v>
      </c>
      <c r="D6" s="1" t="s">
        <v>98</v>
      </c>
    </row>
    <row r="7" spans="1:7">
      <c r="A7" t="s">
        <v>86</v>
      </c>
      <c r="B7" s="64" t="s">
        <v>76</v>
      </c>
      <c r="C7" s="64" t="s">
        <v>77</v>
      </c>
      <c r="D7" t="s">
        <v>99</v>
      </c>
      <c r="E7"/>
    </row>
    <row r="8" spans="1:7">
      <c r="A8" t="s">
        <v>87</v>
      </c>
      <c r="B8" s="63" t="s">
        <v>82</v>
      </c>
      <c r="C8" s="63" t="s">
        <v>80</v>
      </c>
      <c r="D8" s="1" t="s">
        <v>81</v>
      </c>
      <c r="G8" t="s">
        <v>45</v>
      </c>
    </row>
    <row r="9" spans="1:7">
      <c r="A9" t="s">
        <v>88</v>
      </c>
      <c r="B9" s="63" t="s">
        <v>83</v>
      </c>
      <c r="C9" s="63" t="s">
        <v>84</v>
      </c>
      <c r="D9" s="1" t="s">
        <v>85</v>
      </c>
      <c r="E9" s="1" t="s">
        <v>17</v>
      </c>
    </row>
    <row r="10" spans="1:7">
      <c r="A10" s="4" t="s">
        <v>4</v>
      </c>
      <c r="B10" s="63"/>
      <c r="C10" s="63"/>
    </row>
  </sheetData>
  <phoneticPr fontId="0"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K52"/>
  <sheetViews>
    <sheetView zoomScale="85" zoomScaleNormal="85" workbookViewId="0">
      <selection activeCell="H7" sqref="H7"/>
    </sheetView>
  </sheetViews>
  <sheetFormatPr defaultColWidth="8.7109375" defaultRowHeight="12.75"/>
  <cols>
    <col min="1" max="1" width="29.42578125" style="1" customWidth="1"/>
    <col min="2" max="2" width="15.7109375" style="1" customWidth="1"/>
    <col min="3" max="3" width="11" style="3" customWidth="1"/>
    <col min="4" max="4" width="15.7109375" style="1" customWidth="1"/>
    <col min="5" max="5" width="12.42578125" style="3" customWidth="1"/>
    <col min="6" max="6" width="18.140625" style="1" customWidth="1"/>
    <col min="7" max="7" width="16" style="1" customWidth="1"/>
    <col min="8" max="8" width="40.42578125" style="1" customWidth="1"/>
    <col min="9" max="9" width="8.7109375" style="1" customWidth="1"/>
    <col min="10" max="10" width="9.7109375" bestFit="1" customWidth="1"/>
    <col min="11" max="11" width="10.28515625" bestFit="1" customWidth="1"/>
  </cols>
  <sheetData>
    <row r="1" spans="1:9" s="6" customFormat="1" ht="18.75" thickBot="1">
      <c r="A1" s="21" t="s">
        <v>3</v>
      </c>
      <c r="B1" s="22" t="s">
        <v>37</v>
      </c>
      <c r="C1" s="23"/>
      <c r="D1" s="21"/>
      <c r="E1" s="23"/>
      <c r="F1" s="21"/>
      <c r="G1" s="21"/>
      <c r="H1" s="21"/>
      <c r="I1" s="7"/>
    </row>
    <row r="2" spans="1:9" s="6" customFormat="1">
      <c r="A2" s="8" t="s">
        <v>6</v>
      </c>
      <c r="B2" s="10" t="s">
        <v>7</v>
      </c>
      <c r="C2" s="11" t="s">
        <v>8</v>
      </c>
      <c r="D2" s="10" t="s">
        <v>9</v>
      </c>
      <c r="E2" s="11" t="s">
        <v>10</v>
      </c>
      <c r="F2" s="10" t="s">
        <v>108</v>
      </c>
      <c r="G2" s="10" t="s">
        <v>11</v>
      </c>
      <c r="H2" s="12"/>
      <c r="I2" s="5"/>
    </row>
    <row r="3" spans="1:9" s="6" customFormat="1" ht="13.5" thickBot="1">
      <c r="A3" s="13" t="s">
        <v>12</v>
      </c>
      <c r="B3" s="14" t="s">
        <v>13</v>
      </c>
      <c r="C3" s="15" t="s">
        <v>14</v>
      </c>
      <c r="D3" s="14" t="s">
        <v>15</v>
      </c>
      <c r="E3" s="15" t="s">
        <v>118</v>
      </c>
      <c r="F3" s="14" t="s">
        <v>109</v>
      </c>
      <c r="G3" s="14" t="s">
        <v>16</v>
      </c>
      <c r="H3" s="16" t="s">
        <v>5</v>
      </c>
      <c r="I3" s="5"/>
    </row>
    <row r="4" spans="1:9">
      <c r="A4" s="1" t="s">
        <v>155</v>
      </c>
      <c r="B4" s="1">
        <v>0</v>
      </c>
      <c r="C4" s="71">
        <v>0</v>
      </c>
      <c r="D4" s="69" t="s">
        <v>223</v>
      </c>
      <c r="E4" s="3">
        <v>0</v>
      </c>
      <c r="F4" s="1" t="s">
        <v>156</v>
      </c>
      <c r="G4" s="1" t="s">
        <v>156</v>
      </c>
    </row>
    <row r="5" spans="1:9">
      <c r="A5" s="1" t="s">
        <v>157</v>
      </c>
      <c r="B5" s="1">
        <v>0</v>
      </c>
      <c r="C5" s="3">
        <v>0</v>
      </c>
      <c r="D5" s="69" t="s">
        <v>186</v>
      </c>
      <c r="E5" s="3">
        <v>0</v>
      </c>
      <c r="F5" s="1" t="s">
        <v>156</v>
      </c>
      <c r="G5" s="1" t="s">
        <v>158</v>
      </c>
    </row>
    <row r="6" spans="1:9">
      <c r="A6" s="1" t="s">
        <v>159</v>
      </c>
      <c r="B6" s="1">
        <v>0</v>
      </c>
      <c r="C6" s="3">
        <v>0</v>
      </c>
      <c r="D6" s="69" t="s">
        <v>186</v>
      </c>
      <c r="E6" s="3">
        <v>0</v>
      </c>
      <c r="F6" s="1" t="s">
        <v>156</v>
      </c>
      <c r="G6" s="1" t="s">
        <v>156</v>
      </c>
    </row>
    <row r="7" spans="1:9">
      <c r="A7" s="1" t="s">
        <v>160</v>
      </c>
      <c r="B7" s="1">
        <v>0</v>
      </c>
      <c r="C7" s="71">
        <f>H7*10^-6</f>
        <v>1.3999999999999999E-4</v>
      </c>
      <c r="D7" s="69" t="s">
        <v>186</v>
      </c>
      <c r="E7" s="3">
        <v>0</v>
      </c>
      <c r="F7" s="1" t="s">
        <v>156</v>
      </c>
      <c r="G7" s="1" t="s">
        <v>156</v>
      </c>
      <c r="H7" s="1">
        <v>140</v>
      </c>
    </row>
    <row r="8" spans="1:9">
      <c r="A8" s="1" t="s">
        <v>161</v>
      </c>
      <c r="B8" s="1">
        <v>0</v>
      </c>
      <c r="C8" s="3">
        <v>0</v>
      </c>
      <c r="D8" s="69" t="s">
        <v>186</v>
      </c>
      <c r="E8" s="3">
        <v>0</v>
      </c>
      <c r="F8" s="1" t="s">
        <v>158</v>
      </c>
      <c r="G8" s="1" t="s">
        <v>158</v>
      </c>
    </row>
    <row r="9" spans="1:9">
      <c r="A9" s="1" t="s">
        <v>162</v>
      </c>
      <c r="B9" s="1">
        <v>0</v>
      </c>
      <c r="C9" s="87">
        <f>10^-H9</f>
        <v>9.9999999999999995E-7</v>
      </c>
      <c r="D9" s="69" t="s">
        <v>186</v>
      </c>
      <c r="E9" s="3">
        <v>0</v>
      </c>
      <c r="F9" s="1" t="s">
        <v>158</v>
      </c>
      <c r="G9" s="85">
        <f>C9</f>
        <v>9.9999999999999995E-7</v>
      </c>
      <c r="H9" s="1">
        <v>6</v>
      </c>
    </row>
    <row r="10" spans="1:9">
      <c r="A10" s="1" t="s">
        <v>163</v>
      </c>
      <c r="B10" s="1">
        <v>0</v>
      </c>
      <c r="C10" s="100">
        <f>0.0002436 + 0</f>
        <v>2.4360000000000001E-4</v>
      </c>
      <c r="D10" s="69" t="s">
        <v>186</v>
      </c>
      <c r="E10" s="3">
        <v>0</v>
      </c>
      <c r="F10" s="1" t="s">
        <v>156</v>
      </c>
      <c r="G10" s="1" t="s">
        <v>156</v>
      </c>
      <c r="H10" s="89"/>
      <c r="I10" s="88"/>
    </row>
    <row r="11" spans="1:9">
      <c r="A11" s="1" t="s">
        <v>164</v>
      </c>
      <c r="B11" s="1">
        <v>0</v>
      </c>
      <c r="C11" s="3">
        <v>0</v>
      </c>
      <c r="D11" s="69" t="s">
        <v>270</v>
      </c>
      <c r="E11" s="3">
        <v>0</v>
      </c>
      <c r="F11" s="1" t="s">
        <v>156</v>
      </c>
      <c r="G11" s="1" t="s">
        <v>156</v>
      </c>
    </row>
    <row r="12" spans="1:9">
      <c r="A12" s="1" t="s">
        <v>165</v>
      </c>
      <c r="B12" s="1">
        <v>0</v>
      </c>
      <c r="C12" s="3">
        <v>0</v>
      </c>
      <c r="D12" s="1" t="s">
        <v>158</v>
      </c>
      <c r="E12" s="3">
        <v>0</v>
      </c>
      <c r="F12" s="1" t="s">
        <v>158</v>
      </c>
      <c r="G12" s="1" t="s">
        <v>156</v>
      </c>
    </row>
    <row r="13" spans="1:9">
      <c r="A13" s="1" t="s">
        <v>166</v>
      </c>
      <c r="B13" s="1">
        <v>0</v>
      </c>
      <c r="C13" s="84">
        <f>10^(-14-LOG10(C9))</f>
        <v>1E-8</v>
      </c>
      <c r="D13" s="1" t="s">
        <v>158</v>
      </c>
      <c r="E13" s="3">
        <v>0</v>
      </c>
      <c r="F13" s="1" t="s">
        <v>156</v>
      </c>
      <c r="G13" s="84">
        <f>C13</f>
        <v>1E-8</v>
      </c>
    </row>
    <row r="14" spans="1:9">
      <c r="A14" s="1" t="s">
        <v>167</v>
      </c>
      <c r="B14" s="1">
        <v>0</v>
      </c>
      <c r="C14" s="3">
        <v>55.6</v>
      </c>
      <c r="D14" s="69" t="s">
        <v>119</v>
      </c>
      <c r="E14" s="3">
        <v>0</v>
      </c>
      <c r="F14" s="1" t="s">
        <v>156</v>
      </c>
      <c r="G14" s="1">
        <f>C14</f>
        <v>55.6</v>
      </c>
    </row>
    <row r="15" spans="1:9">
      <c r="A15" s="1" t="s">
        <v>168</v>
      </c>
      <c r="B15" s="1">
        <v>0</v>
      </c>
      <c r="C15" s="3">
        <v>0</v>
      </c>
      <c r="D15" s="69" t="s">
        <v>186</v>
      </c>
      <c r="E15" s="3">
        <v>0</v>
      </c>
      <c r="F15" s="1" t="s">
        <v>158</v>
      </c>
      <c r="G15" s="1" t="s">
        <v>158</v>
      </c>
    </row>
    <row r="16" spans="1:9">
      <c r="A16" s="1" t="s">
        <v>169</v>
      </c>
      <c r="B16" s="1">
        <v>0</v>
      </c>
      <c r="C16" s="3">
        <v>0</v>
      </c>
      <c r="D16" s="69" t="s">
        <v>119</v>
      </c>
      <c r="E16" s="3">
        <v>0</v>
      </c>
      <c r="F16" s="1" t="s">
        <v>170</v>
      </c>
      <c r="G16" s="1" t="s">
        <v>158</v>
      </c>
    </row>
    <row r="17" spans="1:11">
      <c r="A17" s="1" t="s">
        <v>171</v>
      </c>
      <c r="B17" s="1">
        <v>0</v>
      </c>
      <c r="C17" s="3">
        <v>0</v>
      </c>
      <c r="D17" s="1" t="s">
        <v>119</v>
      </c>
      <c r="E17" s="3">
        <v>0</v>
      </c>
      <c r="F17" s="1" t="s">
        <v>156</v>
      </c>
      <c r="G17" s="1" t="s">
        <v>158</v>
      </c>
    </row>
    <row r="18" spans="1:11">
      <c r="A18" s="1" t="s">
        <v>172</v>
      </c>
      <c r="B18" s="1">
        <v>0</v>
      </c>
      <c r="C18" s="3">
        <v>0</v>
      </c>
      <c r="D18" s="1" t="s">
        <v>156</v>
      </c>
      <c r="E18" s="3">
        <v>0</v>
      </c>
      <c r="F18" s="1" t="s">
        <v>156</v>
      </c>
      <c r="G18" s="1" t="s">
        <v>156</v>
      </c>
    </row>
    <row r="19" spans="1:11">
      <c r="A19" s="1" t="s">
        <v>173</v>
      </c>
      <c r="B19" s="1">
        <v>0</v>
      </c>
      <c r="C19" s="3">
        <v>0</v>
      </c>
      <c r="D19" s="69" t="s">
        <v>206</v>
      </c>
      <c r="E19" s="3">
        <v>0</v>
      </c>
      <c r="F19" s="1" t="s">
        <v>158</v>
      </c>
      <c r="G19" s="1" t="s">
        <v>158</v>
      </c>
    </row>
    <row r="20" spans="1:11">
      <c r="A20" s="1" t="s">
        <v>174</v>
      </c>
      <c r="B20" s="1">
        <v>0</v>
      </c>
      <c r="C20" s="86" t="str">
        <f>IF(C9&lt;0.000001, "13.63E-6", "20.03E-6")</f>
        <v>20.03E-6</v>
      </c>
      <c r="D20" s="69" t="s">
        <v>186</v>
      </c>
      <c r="E20" s="3">
        <v>0</v>
      </c>
      <c r="F20" s="1" t="s">
        <v>156</v>
      </c>
      <c r="G20" s="1" t="s">
        <v>158</v>
      </c>
      <c r="H20" s="69"/>
    </row>
    <row r="21" spans="1:11">
      <c r="A21" s="1" t="s">
        <v>175</v>
      </c>
      <c r="B21" s="1">
        <v>0</v>
      </c>
      <c r="C21" s="3">
        <v>0</v>
      </c>
      <c r="D21" s="1" t="s">
        <v>158</v>
      </c>
      <c r="E21" s="3">
        <v>0</v>
      </c>
      <c r="F21" s="1" t="s">
        <v>158</v>
      </c>
      <c r="G21" s="1" t="s">
        <v>156</v>
      </c>
    </row>
    <row r="22" spans="1:11">
      <c r="A22" s="1" t="s">
        <v>176</v>
      </c>
      <c r="B22" s="1">
        <v>0</v>
      </c>
      <c r="C22" s="3">
        <v>0</v>
      </c>
      <c r="D22" s="1" t="s">
        <v>158</v>
      </c>
      <c r="E22" s="3">
        <v>0</v>
      </c>
      <c r="F22" s="1" t="s">
        <v>156</v>
      </c>
      <c r="G22" s="1" t="s">
        <v>156</v>
      </c>
    </row>
    <row r="23" spans="1:11">
      <c r="A23" s="1" t="s">
        <v>177</v>
      </c>
      <c r="B23" s="1">
        <v>0</v>
      </c>
      <c r="C23" s="3">
        <v>0</v>
      </c>
      <c r="D23" s="69" t="s">
        <v>178</v>
      </c>
      <c r="E23" s="3">
        <v>0</v>
      </c>
      <c r="F23" s="1" t="s">
        <v>156</v>
      </c>
      <c r="G23" s="1" t="s">
        <v>158</v>
      </c>
      <c r="H23" s="69"/>
    </row>
    <row r="24" spans="1:11">
      <c r="A24" s="1" t="s">
        <v>179</v>
      </c>
      <c r="B24" s="1">
        <v>0</v>
      </c>
      <c r="C24" s="2">
        <v>2.5000000000000001E-3</v>
      </c>
      <c r="D24" s="1" t="s">
        <v>156</v>
      </c>
      <c r="E24" s="3">
        <v>0</v>
      </c>
      <c r="F24" s="1" t="s">
        <v>156</v>
      </c>
      <c r="G24" s="1">
        <f>C24</f>
        <v>2.5000000000000001E-3</v>
      </c>
      <c r="H24" s="69" t="s">
        <v>233</v>
      </c>
      <c r="I24" s="88"/>
      <c r="J24" s="47"/>
    </row>
    <row r="25" spans="1:11">
      <c r="A25" s="1" t="s">
        <v>180</v>
      </c>
      <c r="B25" s="1">
        <v>0</v>
      </c>
      <c r="C25" s="3">
        <v>0</v>
      </c>
      <c r="D25" s="69" t="s">
        <v>186</v>
      </c>
      <c r="E25" s="3">
        <v>0</v>
      </c>
      <c r="F25" s="1" t="s">
        <v>156</v>
      </c>
      <c r="G25" s="1" t="s">
        <v>156</v>
      </c>
      <c r="H25" s="69"/>
    </row>
    <row r="26" spans="1:11">
      <c r="A26" s="1" t="s">
        <v>181</v>
      </c>
      <c r="B26" s="1">
        <v>0</v>
      </c>
      <c r="C26" s="99">
        <v>4.9999999999999998E-7</v>
      </c>
      <c r="D26" s="69" t="s">
        <v>186</v>
      </c>
      <c r="E26" s="3">
        <v>0</v>
      </c>
      <c r="F26" s="1" t="s">
        <v>156</v>
      </c>
      <c r="G26" s="1" t="s">
        <v>158</v>
      </c>
      <c r="H26" s="69" t="s">
        <v>298</v>
      </c>
    </row>
    <row r="27" spans="1:11">
      <c r="A27" s="1" t="s">
        <v>182</v>
      </c>
      <c r="B27" s="1">
        <v>0</v>
      </c>
      <c r="C27" s="3">
        <v>0</v>
      </c>
      <c r="D27" s="1" t="s">
        <v>158</v>
      </c>
      <c r="E27" s="3">
        <v>0</v>
      </c>
      <c r="F27" s="1" t="s">
        <v>158</v>
      </c>
      <c r="G27" s="1" t="s">
        <v>158</v>
      </c>
      <c r="H27" s="69"/>
    </row>
    <row r="28" spans="1:11">
      <c r="A28" s="1" t="s">
        <v>183</v>
      </c>
      <c r="B28" s="1">
        <v>0</v>
      </c>
      <c r="C28" s="3">
        <v>0</v>
      </c>
      <c r="D28" s="1" t="s">
        <v>158</v>
      </c>
      <c r="E28" s="3">
        <v>0</v>
      </c>
      <c r="F28" s="1" t="s">
        <v>156</v>
      </c>
      <c r="G28" s="1" t="s">
        <v>156</v>
      </c>
      <c r="H28" s="69"/>
    </row>
    <row r="29" spans="1:11">
      <c r="A29" s="1" t="s">
        <v>184</v>
      </c>
      <c r="B29" s="1">
        <v>0</v>
      </c>
      <c r="C29" s="99">
        <v>4.9999999999999998E-7</v>
      </c>
      <c r="D29" s="69" t="s">
        <v>223</v>
      </c>
      <c r="E29" s="3">
        <v>0</v>
      </c>
      <c r="F29" s="1" t="s">
        <v>156</v>
      </c>
      <c r="G29" s="1" t="s">
        <v>156</v>
      </c>
      <c r="H29" s="69" t="s">
        <v>299</v>
      </c>
    </row>
    <row r="30" spans="1:11">
      <c r="A30" s="1" t="s">
        <v>185</v>
      </c>
      <c r="B30" s="1">
        <v>0</v>
      </c>
      <c r="C30" s="71">
        <f>H30*10^-3</f>
        <v>0</v>
      </c>
      <c r="D30" s="1" t="s">
        <v>156</v>
      </c>
      <c r="E30" s="3">
        <v>0</v>
      </c>
      <c r="F30" s="1" t="s">
        <v>158</v>
      </c>
      <c r="G30" s="3" t="s">
        <v>158</v>
      </c>
      <c r="H30"/>
      <c r="J30" s="47"/>
      <c r="K30" s="47"/>
    </row>
    <row r="31" spans="1:11">
      <c r="A31" s="1" t="s">
        <v>201</v>
      </c>
      <c r="B31" s="1">
        <v>0</v>
      </c>
      <c r="C31" s="3">
        <v>0</v>
      </c>
      <c r="D31" s="1" t="s">
        <v>103</v>
      </c>
      <c r="E31" s="3">
        <v>0</v>
      </c>
      <c r="F31" s="1" t="s">
        <v>103</v>
      </c>
      <c r="G31" s="1" t="s">
        <v>103</v>
      </c>
    </row>
    <row r="32" spans="1:11">
      <c r="A32" s="69" t="s">
        <v>235</v>
      </c>
      <c r="B32" s="1">
        <v>0</v>
      </c>
      <c r="C32" s="3">
        <v>0</v>
      </c>
      <c r="D32" s="1" t="s">
        <v>103</v>
      </c>
      <c r="E32" s="3">
        <v>0</v>
      </c>
      <c r="F32" s="1" t="s">
        <v>103</v>
      </c>
      <c r="G32" s="1" t="s">
        <v>103</v>
      </c>
    </row>
    <row r="33" spans="1:7">
      <c r="A33" s="1" t="s">
        <v>207</v>
      </c>
      <c r="B33" s="1">
        <v>0</v>
      </c>
      <c r="C33" s="3">
        <v>0</v>
      </c>
      <c r="D33" s="1" t="s">
        <v>103</v>
      </c>
      <c r="E33" s="3">
        <v>0</v>
      </c>
      <c r="F33" s="1" t="s">
        <v>103</v>
      </c>
      <c r="G33" s="1" t="s">
        <v>103</v>
      </c>
    </row>
    <row r="34" spans="1:7">
      <c r="A34" s="1" t="s">
        <v>228</v>
      </c>
      <c r="B34" s="1">
        <v>0</v>
      </c>
      <c r="C34" s="3">
        <v>0</v>
      </c>
      <c r="D34" s="1" t="s">
        <v>103</v>
      </c>
      <c r="E34" s="3">
        <v>0</v>
      </c>
      <c r="F34" s="1" t="s">
        <v>103</v>
      </c>
      <c r="G34" s="1" t="s">
        <v>103</v>
      </c>
    </row>
    <row r="35" spans="1:7">
      <c r="A35" s="1" t="s">
        <v>229</v>
      </c>
      <c r="B35" s="1">
        <v>0</v>
      </c>
      <c r="C35" s="3">
        <v>0</v>
      </c>
      <c r="D35" s="1" t="s">
        <v>103</v>
      </c>
      <c r="E35" s="3">
        <v>0</v>
      </c>
      <c r="F35" s="1" t="s">
        <v>103</v>
      </c>
      <c r="G35" s="1" t="s">
        <v>103</v>
      </c>
    </row>
    <row r="36" spans="1:7">
      <c r="A36" s="1" t="s">
        <v>230</v>
      </c>
      <c r="B36" s="1">
        <v>0</v>
      </c>
      <c r="C36" s="3">
        <v>0</v>
      </c>
      <c r="D36" s="69" t="s">
        <v>186</v>
      </c>
      <c r="E36" s="3">
        <v>0</v>
      </c>
      <c r="F36" s="1" t="s">
        <v>103</v>
      </c>
      <c r="G36" s="1" t="s">
        <v>103</v>
      </c>
    </row>
    <row r="37" spans="1:7">
      <c r="A37" s="1" t="s">
        <v>232</v>
      </c>
      <c r="B37" s="1">
        <v>0</v>
      </c>
      <c r="C37" s="3">
        <v>0</v>
      </c>
      <c r="D37" s="69" t="s">
        <v>186</v>
      </c>
      <c r="E37" s="3">
        <v>0</v>
      </c>
      <c r="F37" s="1" t="s">
        <v>103</v>
      </c>
      <c r="G37" s="1" t="s">
        <v>103</v>
      </c>
    </row>
    <row r="38" spans="1:7">
      <c r="A38" s="1" t="s">
        <v>236</v>
      </c>
      <c r="B38" s="1">
        <v>0</v>
      </c>
      <c r="C38" s="3">
        <v>0</v>
      </c>
      <c r="D38" s="1" t="s">
        <v>103</v>
      </c>
      <c r="E38" s="3">
        <v>0</v>
      </c>
      <c r="F38" s="1" t="s">
        <v>103</v>
      </c>
      <c r="G38" s="1" t="s">
        <v>103</v>
      </c>
    </row>
    <row r="39" spans="1:7">
      <c r="A39" s="1" t="s">
        <v>243</v>
      </c>
      <c r="B39" s="1">
        <v>0</v>
      </c>
      <c r="C39" s="3">
        <v>0</v>
      </c>
      <c r="D39" s="1" t="s">
        <v>103</v>
      </c>
      <c r="E39" s="3">
        <v>0</v>
      </c>
      <c r="F39" s="1" t="s">
        <v>103</v>
      </c>
      <c r="G39" s="1" t="s">
        <v>103</v>
      </c>
    </row>
    <row r="40" spans="1:7">
      <c r="A40" s="1" t="s">
        <v>244</v>
      </c>
      <c r="B40" s="1">
        <v>0</v>
      </c>
      <c r="C40" s="3">
        <v>0</v>
      </c>
      <c r="D40" s="1" t="s">
        <v>103</v>
      </c>
      <c r="E40" s="3">
        <v>0</v>
      </c>
      <c r="F40" s="1" t="s">
        <v>103</v>
      </c>
      <c r="G40" s="1" t="s">
        <v>103</v>
      </c>
    </row>
    <row r="41" spans="1:7">
      <c r="A41" s="1" t="s">
        <v>245</v>
      </c>
      <c r="B41" s="1">
        <v>0</v>
      </c>
      <c r="C41" s="3">
        <v>0</v>
      </c>
      <c r="D41" s="1" t="s">
        <v>103</v>
      </c>
      <c r="E41" s="3">
        <v>0</v>
      </c>
      <c r="F41" s="1" t="s">
        <v>103</v>
      </c>
      <c r="G41" s="1" t="s">
        <v>103</v>
      </c>
    </row>
    <row r="42" spans="1:7">
      <c r="A42" s="1" t="s">
        <v>246</v>
      </c>
      <c r="B42" s="1">
        <v>0</v>
      </c>
      <c r="C42" s="3">
        <v>0</v>
      </c>
      <c r="D42" s="1" t="s">
        <v>103</v>
      </c>
      <c r="E42" s="3">
        <v>0</v>
      </c>
      <c r="F42" s="1" t="s">
        <v>103</v>
      </c>
      <c r="G42" s="1" t="s">
        <v>103</v>
      </c>
    </row>
    <row r="43" spans="1:7">
      <c r="A43" s="1" t="s">
        <v>247</v>
      </c>
      <c r="B43" s="1">
        <v>0</v>
      </c>
      <c r="C43" s="3">
        <v>0</v>
      </c>
      <c r="D43" s="1" t="s">
        <v>103</v>
      </c>
      <c r="E43" s="3">
        <v>0</v>
      </c>
      <c r="F43" s="1" t="s">
        <v>103</v>
      </c>
      <c r="G43" s="1" t="s">
        <v>103</v>
      </c>
    </row>
    <row r="44" spans="1:7">
      <c r="A44" s="1" t="s">
        <v>248</v>
      </c>
      <c r="B44" s="1">
        <v>0</v>
      </c>
      <c r="C44" s="3">
        <v>0</v>
      </c>
      <c r="D44" s="1" t="s">
        <v>103</v>
      </c>
      <c r="E44" s="3">
        <v>0</v>
      </c>
      <c r="F44" s="1" t="s">
        <v>103</v>
      </c>
      <c r="G44" s="1" t="s">
        <v>103</v>
      </c>
    </row>
    <row r="45" spans="1:7">
      <c r="A45" s="1" t="s">
        <v>263</v>
      </c>
      <c r="B45" s="1">
        <v>0</v>
      </c>
      <c r="C45" s="3">
        <v>0</v>
      </c>
      <c r="D45" s="1" t="s">
        <v>103</v>
      </c>
      <c r="E45" s="3">
        <v>0</v>
      </c>
      <c r="F45" s="1" t="s">
        <v>103</v>
      </c>
      <c r="G45" s="1" t="s">
        <v>103</v>
      </c>
    </row>
    <row r="46" spans="1:7">
      <c r="A46" s="1" t="s">
        <v>264</v>
      </c>
      <c r="B46" s="1">
        <v>0</v>
      </c>
      <c r="C46" s="3">
        <v>0</v>
      </c>
      <c r="D46" s="1" t="s">
        <v>103</v>
      </c>
      <c r="E46" s="3">
        <v>0</v>
      </c>
      <c r="F46" s="1" t="s">
        <v>103</v>
      </c>
      <c r="G46" s="1" t="s">
        <v>103</v>
      </c>
    </row>
    <row r="47" spans="1:7">
      <c r="A47" s="1" t="s">
        <v>4</v>
      </c>
    </row>
    <row r="48" spans="1:7">
      <c r="A48" s="1" t="s">
        <v>3</v>
      </c>
    </row>
    <row r="49" spans="1:1">
      <c r="A49" s="1" t="s">
        <v>3</v>
      </c>
    </row>
    <row r="50" spans="1:1">
      <c r="A50" s="1" t="s">
        <v>3</v>
      </c>
    </row>
    <row r="51" spans="1:1">
      <c r="A51" s="1" t="s">
        <v>3</v>
      </c>
    </row>
    <row r="52" spans="1:1">
      <c r="A52" s="1" t="s">
        <v>3</v>
      </c>
    </row>
  </sheetData>
  <phoneticPr fontId="0" type="noConversion"/>
  <pageMargins left="0.75" right="0.75" top="1" bottom="1" header="0.5" footer="0.5"/>
  <pageSetup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Charts</vt:lpstr>
      </vt:variant>
      <vt:variant>
        <vt:i4>1</vt:i4>
      </vt:variant>
    </vt:vector>
  </HeadingPairs>
  <TitlesOfParts>
    <vt:vector size="10" baseType="lpstr">
      <vt:lpstr>Help</vt:lpstr>
      <vt:lpstr>CONC</vt:lpstr>
      <vt:lpstr>CONTROL</vt:lpstr>
      <vt:lpstr>model</vt:lpstr>
      <vt:lpstr>UV irradiation</vt:lpstr>
      <vt:lpstr>parm</vt:lpstr>
      <vt:lpstr>fitdata</vt:lpstr>
      <vt:lpstr>therm</vt:lpstr>
      <vt:lpstr>species</vt:lpstr>
      <vt:lpstr>Concentrations</vt:lpstr>
    </vt:vector>
  </TitlesOfParts>
  <Company>NONE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Ianni</dc:creator>
  <cp:lastModifiedBy>JIANNI</cp:lastModifiedBy>
  <cp:lastPrinted>2018-03-02T09:36:39Z</cp:lastPrinted>
  <dcterms:created xsi:type="dcterms:W3CDTF">2001-09-27T03:26:56Z</dcterms:created>
  <dcterms:modified xsi:type="dcterms:W3CDTF">2022-08-14T00:19:47Z</dcterms:modified>
</cp:coreProperties>
</file>